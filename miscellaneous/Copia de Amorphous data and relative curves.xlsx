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codeName="ThisWorkbook" defaultThemeVersion="124226"/>
  <xr:revisionPtr revIDLastSave="0" documentId="8_{2AF8B735-59EB-4B8F-A1B2-E2F764F5865B}" xr6:coauthVersionLast="47" xr6:coauthVersionMax="47" xr10:uidLastSave="{00000000-0000-0000-0000-000000000000}"/>
  <bookViews>
    <workbookView xWindow="4410" yWindow="1305" windowWidth="21600" windowHeight="11385" activeTab="4" xr2:uid="{00000000-000D-0000-FFFF-FFFF00000000}"/>
  </bookViews>
  <sheets>
    <sheet name="material data" sheetId="1" r:id="rId1"/>
    <sheet name="B-H curve" sheetId="3" r:id="rId2"/>
    <sheet name="DC-Bias" sheetId="2" r:id="rId3"/>
    <sheet name="DataFromChart1" sheetId="11" r:id="rId4"/>
    <sheet name="DataFromChart" sheetId="12" r:id="rId5"/>
    <sheet name="PS-f curve" sheetId="4" r:id="rId6"/>
    <sheet name="BS-T curve" sheetId="5" r:id="rId7"/>
    <sheet name="μ-T curve" sheetId="6" r:id="rId8"/>
  </sheets>
  <externalReferences>
    <externalReference r:id="rId9"/>
    <externalReference r:id="rId10"/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2" l="1"/>
  <c r="F42" i="12"/>
  <c r="E43" i="12"/>
  <c r="F43" i="12"/>
  <c r="E44" i="12"/>
  <c r="F44" i="12"/>
  <c r="E45" i="12"/>
  <c r="F45" i="12"/>
  <c r="E46" i="12"/>
  <c r="F46" i="12"/>
  <c r="E47" i="12"/>
  <c r="F47" i="12"/>
  <c r="F41" i="12"/>
  <c r="E41" i="12"/>
  <c r="E35" i="12"/>
  <c r="F35" i="12"/>
  <c r="E36" i="12"/>
  <c r="F36" i="12"/>
  <c r="E37" i="12"/>
  <c r="F37" i="12"/>
  <c r="E38" i="12"/>
  <c r="F38" i="12"/>
  <c r="E39" i="12"/>
  <c r="F39" i="12"/>
  <c r="E40" i="12"/>
  <c r="F40" i="12"/>
  <c r="F34" i="12"/>
  <c r="E34" i="12"/>
  <c r="E28" i="12"/>
  <c r="F28" i="12"/>
  <c r="E29" i="12"/>
  <c r="F29" i="12"/>
  <c r="E30" i="12"/>
  <c r="F30" i="12"/>
  <c r="E31" i="12"/>
  <c r="F31" i="12"/>
  <c r="E32" i="12"/>
  <c r="F32" i="12"/>
  <c r="E33" i="12"/>
  <c r="F33" i="12"/>
  <c r="F27" i="12"/>
  <c r="E27" i="12"/>
  <c r="E22" i="12"/>
  <c r="F22" i="12"/>
  <c r="E23" i="12"/>
  <c r="F23" i="12"/>
  <c r="E24" i="12"/>
  <c r="F24" i="12"/>
  <c r="E25" i="12"/>
  <c r="F25" i="12"/>
  <c r="E26" i="12"/>
  <c r="F26" i="12"/>
  <c r="F21" i="12"/>
  <c r="E21" i="12"/>
  <c r="E17" i="12"/>
  <c r="F17" i="12"/>
  <c r="E18" i="12"/>
  <c r="F18" i="12"/>
  <c r="E19" i="12"/>
  <c r="F19" i="12"/>
  <c r="E20" i="12"/>
  <c r="F20" i="12"/>
  <c r="F16" i="12"/>
  <c r="E16" i="12"/>
  <c r="E12" i="12"/>
  <c r="F12" i="12"/>
  <c r="E13" i="12"/>
  <c r="F13" i="12"/>
  <c r="E14" i="12"/>
  <c r="F14" i="12"/>
  <c r="E15" i="12"/>
  <c r="F15" i="12"/>
  <c r="F11" i="12"/>
  <c r="E11" i="12"/>
</calcChain>
</file>

<file path=xl/sharedStrings.xml><?xml version="1.0" encoding="utf-8"?>
<sst xmlns="http://schemas.openxmlformats.org/spreadsheetml/2006/main" count="110" uniqueCount="104">
  <si>
    <t>NO.</t>
  </si>
  <si>
    <t>项目/Item</t>
  </si>
  <si>
    <t>单位/Unit</t>
  </si>
  <si>
    <t>参考值</t>
  </si>
  <si>
    <t>Reference value</t>
  </si>
  <si>
    <t>μm</t>
  </si>
  <si>
    <t>T</t>
  </si>
  <si>
    <t>（PPM/℃）</t>
  </si>
  <si>
    <t>℃</t>
  </si>
  <si>
    <r>
      <t>g/ cm</t>
    </r>
    <r>
      <rPr>
        <vertAlign val="superscript"/>
        <sz val="12"/>
        <color rgb="FF000000"/>
        <rFont val="仿宋"/>
        <family val="3"/>
        <charset val="134"/>
      </rPr>
      <t>3</t>
    </r>
  </si>
  <si>
    <t>μΩ·cm</t>
  </si>
  <si>
    <r>
      <t>GN/ m</t>
    </r>
    <r>
      <rPr>
        <vertAlign val="superscript"/>
        <sz val="12"/>
        <color rgb="FF000000"/>
        <rFont val="仿宋"/>
        <family val="3"/>
        <charset val="134"/>
      </rPr>
      <t>2</t>
    </r>
  </si>
  <si>
    <t>1-1.7</t>
  </si>
  <si>
    <t>100-110</t>
  </si>
  <si>
    <t>PPM</t>
  </si>
  <si>
    <t>-</t>
  </si>
  <si>
    <t>&gt;0.80</t>
  </si>
  <si>
    <t>J/（kg•℃）</t>
    <phoneticPr fontId="1" type="noConversion"/>
  </si>
  <si>
    <t>W/(m•℃)</t>
    <phoneticPr fontId="1" type="noConversion"/>
  </si>
  <si>
    <t>N/m</t>
    <phoneticPr fontId="1" type="noConversion"/>
  </si>
  <si>
    <t>Bdat(T)</t>
  </si>
  <si>
    <t>Ribbon thickness</t>
    <phoneticPr fontId="1" type="noConversion"/>
  </si>
  <si>
    <t>Saturated induction density
（Bs）</t>
    <phoneticPr fontId="1" type="noConversion"/>
  </si>
  <si>
    <t>Curie Temperature（Tc）</t>
    <phoneticPr fontId="1" type="noConversion"/>
  </si>
  <si>
    <t>Crystallization Temperature （Tx）</t>
    <phoneticPr fontId="1" type="noConversion"/>
  </si>
  <si>
    <t>Density（ρ）</t>
    <phoneticPr fontId="1" type="noConversion"/>
  </si>
  <si>
    <t>Resistivity(δ)</t>
    <phoneticPr fontId="1" type="noConversion"/>
  </si>
  <si>
    <t>Tensile strength</t>
    <phoneticPr fontId="1" type="noConversion"/>
  </si>
  <si>
    <t>Elastic modulus</t>
    <phoneticPr fontId="1" type="noConversion"/>
  </si>
  <si>
    <t>Saturation magnetostriction</t>
    <phoneticPr fontId="1" type="noConversion"/>
  </si>
  <si>
    <t>Stacking Factor（k）</t>
    <phoneticPr fontId="1" type="noConversion"/>
  </si>
  <si>
    <t>Hardness(Hv)</t>
    <phoneticPr fontId="1" type="noConversion"/>
  </si>
  <si>
    <t>Specific heat(Cp)</t>
    <phoneticPr fontId="1" type="noConversion"/>
  </si>
  <si>
    <t>Thermal expansion</t>
    <phoneticPr fontId="1" type="noConversion"/>
  </si>
  <si>
    <t>Thermal conductivity（k）</t>
    <phoneticPr fontId="1" type="noConversion"/>
  </si>
  <si>
    <t>Surface tension（σ）</t>
    <phoneticPr fontId="1" type="noConversion"/>
  </si>
  <si>
    <t>文件名</t>
  </si>
  <si>
    <t>样品编号</t>
  </si>
  <si>
    <t>μi(k)</t>
  </si>
  <si>
    <t>μm(k)</t>
  </si>
  <si>
    <t>Pu(J/m³)</t>
  </si>
  <si>
    <t>Bs(T)</t>
  </si>
  <si>
    <t>Br(T)</t>
  </si>
  <si>
    <t>Hc(A/m)</t>
  </si>
  <si>
    <t>Hs(A/m)</t>
  </si>
  <si>
    <t>材料名称</t>
  </si>
  <si>
    <t>样品形状</t>
  </si>
  <si>
    <t>Le(mm)</t>
  </si>
  <si>
    <t>Ae(mm²)</t>
  </si>
  <si>
    <t>Ve(cm³)</t>
  </si>
  <si>
    <t>温度(℃)</t>
  </si>
  <si>
    <t>高温</t>
    <phoneticPr fontId="1" type="noConversion"/>
  </si>
  <si>
    <t>30-15-10</t>
  </si>
  <si>
    <t>1K101</t>
    <phoneticPr fontId="1" type="noConversion"/>
  </si>
  <si>
    <t>环型</t>
  </si>
  <si>
    <t>常温</t>
    <phoneticPr fontId="1" type="noConversion"/>
  </si>
  <si>
    <t>常温（25℃）</t>
    <phoneticPr fontId="1" type="noConversion"/>
  </si>
  <si>
    <t>高温（150℃）</t>
    <phoneticPr fontId="1" type="noConversion"/>
  </si>
  <si>
    <t>Hdat(A/m)</t>
    <phoneticPr fontId="1" type="noConversion"/>
  </si>
  <si>
    <t>Bdat(T)</t>
    <phoneticPr fontId="1" type="noConversion"/>
  </si>
  <si>
    <t>Hdat(A/m)</t>
  </si>
  <si>
    <t>X Values - Series 1</t>
  </si>
  <si>
    <t>Y Values - Series 1</t>
  </si>
  <si>
    <t>X Values - Series 2</t>
  </si>
  <si>
    <t>Y Values - Series 2</t>
  </si>
  <si>
    <t>X Values - Series 3</t>
  </si>
  <si>
    <t>Y Values - Series 3</t>
  </si>
  <si>
    <t>X Values - Series 4</t>
  </si>
  <si>
    <t>Y Values - Series 4</t>
  </si>
  <si>
    <t>X Values - Series 5</t>
  </si>
  <si>
    <t>Y Values - Series 5</t>
  </si>
  <si>
    <t>X Values - Series 6</t>
  </si>
  <si>
    <t>Y Values - Series 6</t>
  </si>
  <si>
    <t>X Values - Series 7</t>
  </si>
  <si>
    <t>Y Values - Series 7</t>
  </si>
  <si>
    <t>X Values - Series 8</t>
  </si>
  <si>
    <t>Y Values - Series 8</t>
  </si>
  <si>
    <t>X Values - Series 9</t>
  </si>
  <si>
    <t>Y Values - Series 9</t>
  </si>
  <si>
    <t>50k - X Values</t>
  </si>
  <si>
    <t>50k - Y Values</t>
  </si>
  <si>
    <t>40k - X Values</t>
  </si>
  <si>
    <t>40k - Y Values</t>
  </si>
  <si>
    <t>30k - X Values</t>
  </si>
  <si>
    <t>30k - Y Values</t>
  </si>
  <si>
    <t>25k - X Values</t>
  </si>
  <si>
    <t>25k - Y Values</t>
  </si>
  <si>
    <t>20k - X Values</t>
  </si>
  <si>
    <t>20k - Y Values</t>
  </si>
  <si>
    <t>16k - X Values</t>
  </si>
  <si>
    <t>16k - Y Values</t>
  </si>
  <si>
    <t>10k - X Values</t>
  </si>
  <si>
    <t>10k - Y Values</t>
  </si>
  <si>
    <t>8k - X Values</t>
  </si>
  <si>
    <t>8k - Y Values</t>
  </si>
  <si>
    <t>5k - X Values</t>
  </si>
  <si>
    <t>5k - Y Values</t>
  </si>
  <si>
    <t>f (Hz)</t>
  </si>
  <si>
    <t>P (W/kg)</t>
  </si>
  <si>
    <t>B (T)</t>
  </si>
  <si>
    <t>a = 9.849540336612431e-05</t>
  </si>
  <si>
    <t>b = 1.9266810631874174</t>
  </si>
  <si>
    <t>c = 1.5787680803960094</t>
  </si>
  <si>
    <t>R^2 = 0.9877289974286283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</si>
</sst>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5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rgb="FF000000"/>
      <name val="仿宋"/>
      <family val="3"/>
      <charset val="134"/>
    </font>
    <font>
      <vertAlign val="superscript"/>
      <sz val="12"/>
      <color rgb="FF000000"/>
      <name val="仿宋"/>
      <family val="3"/>
      <charset val="134"/>
    </font>
    <font>
      <sz val="12"/>
      <color theme="1"/>
      <name val="仿宋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1" fontId="0" fillId="2" borderId="1" xfId="0" applyNumberFormat="1" applyFill="1" applyBorder="1">
      <alignment vertical="center"/>
    </xf>
    <xf numFmtId="164" fontId="0" fillId="0" borderId="0" xfId="0" applyNumberFormat="1">
      <alignment vertical="center"/>
    </xf>
    <xf numFmtId="1" fontId="0" fillId="0" borderId="0" xfId="0" applyNumberFormat="1">
      <alignment vertical="center"/>
    </xf>
    <xf numFmtId="165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>
                <a:latin typeface="宋体" pitchFamily="2" charset="-122"/>
                <a:ea typeface="宋体" pitchFamily="2" charset="-122"/>
              </a:defRPr>
            </a:pPr>
            <a:r>
              <a:rPr lang="zh-CN" altLang="en-US" sz="1800" b="0" i="0" baseline="0">
                <a:latin typeface="宋体" pitchFamily="2" charset="-122"/>
                <a:ea typeface="宋体" pitchFamily="2" charset="-122"/>
              </a:rPr>
              <a:t>常温及</a:t>
            </a:r>
            <a:r>
              <a:rPr lang="en-US" altLang="zh-CN" sz="1800" b="0" i="0" baseline="0">
                <a:latin typeface="宋体" pitchFamily="2" charset="-122"/>
                <a:ea typeface="宋体" pitchFamily="2" charset="-122"/>
              </a:rPr>
              <a:t>150</a:t>
            </a:r>
            <a:r>
              <a:rPr lang="en-US" altLang="zh-CN" sz="1800" b="0" i="0" u="none" strike="noStrike" baseline="0">
                <a:latin typeface="宋体" pitchFamily="2" charset="-122"/>
                <a:ea typeface="宋体" pitchFamily="2" charset="-122"/>
              </a:rPr>
              <a:t>℃</a:t>
            </a:r>
            <a:r>
              <a:rPr lang="zh-CN" altLang="en-US" sz="1800" b="0" i="0" u="none" strike="noStrike" baseline="0">
                <a:latin typeface="宋体" pitchFamily="2" charset="-122"/>
                <a:ea typeface="宋体" pitchFamily="2" charset="-122"/>
              </a:rPr>
              <a:t>下非晶磁化曲线</a:t>
            </a:r>
            <a:endParaRPr lang="en-US" altLang="zh-CN" sz="1800" b="0" i="0" baseline="0">
              <a:latin typeface="宋体" pitchFamily="2" charset="-122"/>
              <a:ea typeface="宋体" pitchFamily="2" charset="-122"/>
            </a:endParaRPr>
          </a:p>
          <a:p>
            <a:pPr>
              <a:defRPr b="0">
                <a:latin typeface="宋体" pitchFamily="2" charset="-122"/>
                <a:ea typeface="宋体" pitchFamily="2" charset="-122"/>
              </a:defRPr>
            </a:pPr>
            <a:r>
              <a:rPr lang="en-US" altLang="zh-CN" sz="1600" b="0" i="0" baseline="0">
                <a:latin typeface="宋体" pitchFamily="2" charset="-122"/>
                <a:ea typeface="宋体" pitchFamily="2" charset="-122"/>
              </a:rPr>
              <a:t>B-H Curve</a:t>
            </a:r>
            <a:r>
              <a:rPr lang="zh-CN" altLang="zh-CN" sz="1600" b="0" i="0" baseline="0">
                <a:latin typeface="宋体" pitchFamily="2" charset="-122"/>
                <a:ea typeface="宋体" pitchFamily="2" charset="-122"/>
              </a:rPr>
              <a:t>（</a:t>
            </a:r>
            <a:r>
              <a:rPr lang="en-US" altLang="zh-CN" sz="1600" b="0" i="0" baseline="0">
                <a:latin typeface="宋体" pitchFamily="2" charset="-122"/>
                <a:ea typeface="宋体" pitchFamily="2" charset="-122"/>
              </a:rPr>
              <a:t>25&amp;150℃</a:t>
            </a:r>
            <a:r>
              <a:rPr lang="zh-CN" altLang="zh-CN" sz="1600" b="0" i="0" baseline="0">
                <a:latin typeface="宋体" pitchFamily="2" charset="-122"/>
                <a:ea typeface="宋体" pitchFamily="2" charset="-122"/>
              </a:rPr>
              <a:t>）</a:t>
            </a:r>
            <a:endParaRPr lang="en-US" altLang="zh-CN" sz="1600" b="0" i="0" baseline="0">
              <a:latin typeface="宋体" pitchFamily="2" charset="-122"/>
              <a:ea typeface="宋体" pitchFamily="2" charset="-122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126465125599697"/>
          <c:y val="0.18695746089072235"/>
          <c:w val="0.70152823453672863"/>
          <c:h val="0.645265917884191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'[1]30-15-10'!$A$5</c:f>
              <c:strCache>
                <c:ptCount val="1"/>
                <c:pt idx="0">
                  <c:v>常温（25℃）</c:v>
                </c:pt>
              </c:strCache>
            </c:strRef>
          </c:tx>
          <c:marker>
            <c:symbol val="none"/>
          </c:marker>
          <c:xVal>
            <c:numRef>
              <c:f>'[1]30-15-10'!$A$7:$A$68</c:f>
              <c:numCache>
                <c:formatCode>General</c:formatCode>
                <c:ptCount val="62"/>
                <c:pt idx="0">
                  <c:v>3.9916399999999998E-2</c:v>
                </c:pt>
                <c:pt idx="1">
                  <c:v>7.9968800000000007E-2</c:v>
                </c:pt>
                <c:pt idx="2">
                  <c:v>7.9968800000000007E-2</c:v>
                </c:pt>
                <c:pt idx="3">
                  <c:v>7.9968800000000007E-2</c:v>
                </c:pt>
                <c:pt idx="4">
                  <c:v>7.9968800000000007E-2</c:v>
                </c:pt>
                <c:pt idx="5">
                  <c:v>7.9968800000000007E-2</c:v>
                </c:pt>
                <c:pt idx="6">
                  <c:v>7.9968800000000007E-2</c:v>
                </c:pt>
                <c:pt idx="7">
                  <c:v>7.9968800000000007E-2</c:v>
                </c:pt>
                <c:pt idx="8">
                  <c:v>7.9968800000000007E-2</c:v>
                </c:pt>
                <c:pt idx="9">
                  <c:v>7.9968800000000007E-2</c:v>
                </c:pt>
                <c:pt idx="10">
                  <c:v>7.9968800000000007E-2</c:v>
                </c:pt>
                <c:pt idx="11">
                  <c:v>7.9968800000000007E-2</c:v>
                </c:pt>
                <c:pt idx="12">
                  <c:v>7.9968800000000007E-2</c:v>
                </c:pt>
                <c:pt idx="13">
                  <c:v>7.9968800000000007E-2</c:v>
                </c:pt>
                <c:pt idx="14">
                  <c:v>7.9968800000000007E-2</c:v>
                </c:pt>
                <c:pt idx="15">
                  <c:v>7.9968800000000007E-2</c:v>
                </c:pt>
                <c:pt idx="16">
                  <c:v>7.9968800000000007E-2</c:v>
                </c:pt>
                <c:pt idx="17">
                  <c:v>7.9968800000000007E-2</c:v>
                </c:pt>
                <c:pt idx="18">
                  <c:v>7.9968800000000007E-2</c:v>
                </c:pt>
                <c:pt idx="19">
                  <c:v>7.9968800000000007E-2</c:v>
                </c:pt>
                <c:pt idx="20">
                  <c:v>7.9968800000000007E-2</c:v>
                </c:pt>
                <c:pt idx="21">
                  <c:v>7.9968800000000007E-2</c:v>
                </c:pt>
                <c:pt idx="22">
                  <c:v>2.6395300000000002</c:v>
                </c:pt>
                <c:pt idx="23">
                  <c:v>2.7190799999999999</c:v>
                </c:pt>
                <c:pt idx="24">
                  <c:v>2.7984</c:v>
                </c:pt>
                <c:pt idx="25">
                  <c:v>2.8780600000000001</c:v>
                </c:pt>
                <c:pt idx="26">
                  <c:v>2.9600599999999999</c:v>
                </c:pt>
                <c:pt idx="27">
                  <c:v>3.0388199999999999</c:v>
                </c:pt>
                <c:pt idx="28">
                  <c:v>3.19747</c:v>
                </c:pt>
                <c:pt idx="29">
                  <c:v>3.3563900000000002</c:v>
                </c:pt>
                <c:pt idx="30">
                  <c:v>3.5186700000000002</c:v>
                </c:pt>
                <c:pt idx="31">
                  <c:v>3.92449</c:v>
                </c:pt>
                <c:pt idx="32">
                  <c:v>4.3216599999999996</c:v>
                </c:pt>
                <c:pt idx="33">
                  <c:v>5.1185200000000002</c:v>
                </c:pt>
                <c:pt idx="34">
                  <c:v>5.92347</c:v>
                </c:pt>
                <c:pt idx="35">
                  <c:v>6.72004</c:v>
                </c:pt>
                <c:pt idx="36">
                  <c:v>7.5199699999999998</c:v>
                </c:pt>
                <c:pt idx="37">
                  <c:v>8.3159899999999993</c:v>
                </c:pt>
                <c:pt idx="38">
                  <c:v>9.1164699999999996</c:v>
                </c:pt>
                <c:pt idx="39">
                  <c:v>9.9208599999999993</c:v>
                </c:pt>
                <c:pt idx="40">
                  <c:v>10.7163</c:v>
                </c:pt>
                <c:pt idx="41">
                  <c:v>12.3156</c:v>
                </c:pt>
                <c:pt idx="42">
                  <c:v>16.349900000000002</c:v>
                </c:pt>
                <c:pt idx="43">
                  <c:v>20.288599999999999</c:v>
                </c:pt>
                <c:pt idx="44">
                  <c:v>28.337900000000001</c:v>
                </c:pt>
                <c:pt idx="45">
                  <c:v>36.339199999999998</c:v>
                </c:pt>
                <c:pt idx="46">
                  <c:v>52.3626</c:v>
                </c:pt>
                <c:pt idx="47">
                  <c:v>68.315200000000004</c:v>
                </c:pt>
                <c:pt idx="48">
                  <c:v>84.307500000000005</c:v>
                </c:pt>
                <c:pt idx="49">
                  <c:v>124.30500000000001</c:v>
                </c:pt>
                <c:pt idx="50">
                  <c:v>163.869</c:v>
                </c:pt>
                <c:pt idx="51">
                  <c:v>203.90199999999999</c:v>
                </c:pt>
                <c:pt idx="52">
                  <c:v>284.04000000000002</c:v>
                </c:pt>
                <c:pt idx="53">
                  <c:v>364.18799999999999</c:v>
                </c:pt>
                <c:pt idx="54">
                  <c:v>444.09399999999999</c:v>
                </c:pt>
                <c:pt idx="55">
                  <c:v>524.21500000000003</c:v>
                </c:pt>
                <c:pt idx="56">
                  <c:v>684.32299999999998</c:v>
                </c:pt>
                <c:pt idx="57">
                  <c:v>843.24400000000003</c:v>
                </c:pt>
                <c:pt idx="58">
                  <c:v>1003.49</c:v>
                </c:pt>
                <c:pt idx="59">
                  <c:v>1163.57</c:v>
                </c:pt>
                <c:pt idx="60">
                  <c:v>1563.04</c:v>
                </c:pt>
                <c:pt idx="61">
                  <c:v>1652.39</c:v>
                </c:pt>
              </c:numCache>
            </c:numRef>
          </c:xVal>
          <c:yVal>
            <c:numRef>
              <c:f>'[1]30-15-10'!$B$7:$B$68</c:f>
              <c:numCache>
                <c:formatCode>General</c:formatCode>
                <c:ptCount val="62"/>
                <c:pt idx="0">
                  <c:v>0</c:v>
                </c:pt>
                <c:pt idx="1">
                  <c:v>2.37691E-4</c:v>
                </c:pt>
                <c:pt idx="2">
                  <c:v>2.37691E-4</c:v>
                </c:pt>
                <c:pt idx="3">
                  <c:v>2.37691E-4</c:v>
                </c:pt>
                <c:pt idx="4">
                  <c:v>2.37691E-4</c:v>
                </c:pt>
                <c:pt idx="5">
                  <c:v>2.37691E-4</c:v>
                </c:pt>
                <c:pt idx="6">
                  <c:v>2.37691E-4</c:v>
                </c:pt>
                <c:pt idx="7">
                  <c:v>2.37691E-4</c:v>
                </c:pt>
                <c:pt idx="8">
                  <c:v>2.37691E-4</c:v>
                </c:pt>
                <c:pt idx="9">
                  <c:v>2.37691E-4</c:v>
                </c:pt>
                <c:pt idx="10">
                  <c:v>2.37691E-4</c:v>
                </c:pt>
                <c:pt idx="11">
                  <c:v>2.37691E-4</c:v>
                </c:pt>
                <c:pt idx="12">
                  <c:v>2.37691E-4</c:v>
                </c:pt>
                <c:pt idx="13">
                  <c:v>2.37691E-4</c:v>
                </c:pt>
                <c:pt idx="14">
                  <c:v>2.37691E-4</c:v>
                </c:pt>
                <c:pt idx="15">
                  <c:v>2.37691E-4</c:v>
                </c:pt>
                <c:pt idx="16">
                  <c:v>2.37691E-4</c:v>
                </c:pt>
                <c:pt idx="17">
                  <c:v>2.37691E-4</c:v>
                </c:pt>
                <c:pt idx="18">
                  <c:v>2.37691E-4</c:v>
                </c:pt>
                <c:pt idx="19">
                  <c:v>2.37691E-4</c:v>
                </c:pt>
                <c:pt idx="20">
                  <c:v>2.37691E-4</c:v>
                </c:pt>
                <c:pt idx="21">
                  <c:v>2.37691E-4</c:v>
                </c:pt>
                <c:pt idx="22">
                  <c:v>2.8522999999999998E-4</c:v>
                </c:pt>
                <c:pt idx="23">
                  <c:v>5.9422800000000003E-4</c:v>
                </c:pt>
                <c:pt idx="24">
                  <c:v>8.5568899999999997E-4</c:v>
                </c:pt>
                <c:pt idx="25">
                  <c:v>1.2122299999999999E-3</c:v>
                </c:pt>
                <c:pt idx="26">
                  <c:v>1.68761E-3</c:v>
                </c:pt>
                <c:pt idx="27">
                  <c:v>2.02038E-3</c:v>
                </c:pt>
                <c:pt idx="28">
                  <c:v>2.7096799999999999E-3</c:v>
                </c:pt>
                <c:pt idx="29">
                  <c:v>3.5891400000000002E-3</c:v>
                </c:pt>
                <c:pt idx="30">
                  <c:v>4.3497500000000003E-3</c:v>
                </c:pt>
                <c:pt idx="31">
                  <c:v>6.3939000000000001E-3</c:v>
                </c:pt>
                <c:pt idx="32">
                  <c:v>8.4380400000000008E-3</c:v>
                </c:pt>
                <c:pt idx="33">
                  <c:v>1.2811599999999999E-2</c:v>
                </c:pt>
                <c:pt idx="34">
                  <c:v>1.8112099999999999E-2</c:v>
                </c:pt>
                <c:pt idx="35">
                  <c:v>2.43634E-2</c:v>
                </c:pt>
                <c:pt idx="36">
                  <c:v>3.49644E-2</c:v>
                </c:pt>
                <c:pt idx="37">
                  <c:v>5.1103599999999999E-2</c:v>
                </c:pt>
                <c:pt idx="38">
                  <c:v>7.4278499999999997E-2</c:v>
                </c:pt>
                <c:pt idx="39">
                  <c:v>9.8665600000000006E-2</c:v>
                </c:pt>
                <c:pt idx="40">
                  <c:v>0.121698</c:v>
                </c:pt>
                <c:pt idx="41">
                  <c:v>0.155783</c:v>
                </c:pt>
                <c:pt idx="42">
                  <c:v>0.22956199999999999</c:v>
                </c:pt>
                <c:pt idx="43">
                  <c:v>0.28698800000000002</c:v>
                </c:pt>
                <c:pt idx="44">
                  <c:v>0.36968099999999998</c:v>
                </c:pt>
                <c:pt idx="45">
                  <c:v>0.43036400000000002</c:v>
                </c:pt>
                <c:pt idx="46">
                  <c:v>0.51474399999999998</c:v>
                </c:pt>
                <c:pt idx="47">
                  <c:v>0.57877800000000001</c:v>
                </c:pt>
                <c:pt idx="48">
                  <c:v>0.629216</c:v>
                </c:pt>
                <c:pt idx="49">
                  <c:v>0.72500600000000004</c:v>
                </c:pt>
                <c:pt idx="50">
                  <c:v>0.79721600000000004</c:v>
                </c:pt>
                <c:pt idx="51">
                  <c:v>0.85920600000000003</c:v>
                </c:pt>
                <c:pt idx="52">
                  <c:v>0.95761099999999999</c:v>
                </c:pt>
                <c:pt idx="53">
                  <c:v>1.0380499999999999</c:v>
                </c:pt>
                <c:pt idx="54">
                  <c:v>1.1045</c:v>
                </c:pt>
                <c:pt idx="55">
                  <c:v>1.1626000000000001</c:v>
                </c:pt>
                <c:pt idx="56">
                  <c:v>1.2585299999999999</c:v>
                </c:pt>
                <c:pt idx="57">
                  <c:v>1.3357300000000001</c:v>
                </c:pt>
                <c:pt idx="58">
                  <c:v>1.39924</c:v>
                </c:pt>
                <c:pt idx="59">
                  <c:v>1.45201</c:v>
                </c:pt>
                <c:pt idx="60">
                  <c:v>1.5504100000000001</c:v>
                </c:pt>
                <c:pt idx="61">
                  <c:v>1.5675300000000001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6A-4BB4-BF51-09369026B93C}"/>
            </c:ext>
          </c:extLst>
        </c:ser>
        <c:ser>
          <c:idx val="1"/>
          <c:order val="1"/>
          <c:tx>
            <c:strRef>
              <c:f>'[1]30-15-10'!$C$5</c:f>
              <c:strCache>
                <c:ptCount val="1"/>
                <c:pt idx="0">
                  <c:v>高温（150℃）</c:v>
                </c:pt>
              </c:strCache>
            </c:strRef>
          </c:tx>
          <c:marker>
            <c:symbol val="none"/>
          </c:marker>
          <c:xVal>
            <c:numRef>
              <c:f>'[1]30-15-10'!$C$7:$C$46</c:f>
              <c:numCache>
                <c:formatCode>General</c:formatCode>
                <c:ptCount val="40"/>
                <c:pt idx="0">
                  <c:v>3.9831999999999999E-2</c:v>
                </c:pt>
                <c:pt idx="1">
                  <c:v>7.9781299999999999E-2</c:v>
                </c:pt>
                <c:pt idx="2">
                  <c:v>7.9781299999999999E-2</c:v>
                </c:pt>
                <c:pt idx="3">
                  <c:v>7.9781299999999999E-2</c:v>
                </c:pt>
                <c:pt idx="4">
                  <c:v>7.9781299999999999E-2</c:v>
                </c:pt>
                <c:pt idx="5">
                  <c:v>7.9781299999999999E-2</c:v>
                </c:pt>
                <c:pt idx="6">
                  <c:v>7.9781299999999999E-2</c:v>
                </c:pt>
                <c:pt idx="7">
                  <c:v>7.9781299999999999E-2</c:v>
                </c:pt>
                <c:pt idx="8">
                  <c:v>7.9781299999999999E-2</c:v>
                </c:pt>
                <c:pt idx="9">
                  <c:v>0.72021100000000005</c:v>
                </c:pt>
                <c:pt idx="10">
                  <c:v>0.87940799999999997</c:v>
                </c:pt>
                <c:pt idx="11">
                  <c:v>1.0398400000000001</c:v>
                </c:pt>
                <c:pt idx="12">
                  <c:v>1.4395800000000001</c:v>
                </c:pt>
                <c:pt idx="13">
                  <c:v>2.24091</c:v>
                </c:pt>
                <c:pt idx="14">
                  <c:v>3.84517</c:v>
                </c:pt>
                <c:pt idx="15">
                  <c:v>4.6397899999999996</c:v>
                </c:pt>
                <c:pt idx="16">
                  <c:v>5.0364000000000004</c:v>
                </c:pt>
                <c:pt idx="17">
                  <c:v>5.84443</c:v>
                </c:pt>
                <c:pt idx="18">
                  <c:v>7.4406499999999998</c:v>
                </c:pt>
                <c:pt idx="19">
                  <c:v>8.24057</c:v>
                </c:pt>
                <c:pt idx="20">
                  <c:v>9.8387499999999992</c:v>
                </c:pt>
                <c:pt idx="21">
                  <c:v>13.835599999999999</c:v>
                </c:pt>
                <c:pt idx="22">
                  <c:v>21.8063</c:v>
                </c:pt>
                <c:pt idx="23">
                  <c:v>25.8367</c:v>
                </c:pt>
                <c:pt idx="24">
                  <c:v>33.806800000000003</c:v>
                </c:pt>
                <c:pt idx="25">
                  <c:v>49.852800000000002</c:v>
                </c:pt>
                <c:pt idx="26">
                  <c:v>65.901700000000005</c:v>
                </c:pt>
                <c:pt idx="27">
                  <c:v>105.84</c:v>
                </c:pt>
                <c:pt idx="28">
                  <c:v>121.84399999999999</c:v>
                </c:pt>
                <c:pt idx="29">
                  <c:v>161.376</c:v>
                </c:pt>
                <c:pt idx="30">
                  <c:v>241.422</c:v>
                </c:pt>
                <c:pt idx="31">
                  <c:v>281.45</c:v>
                </c:pt>
                <c:pt idx="32">
                  <c:v>361.59899999999999</c:v>
                </c:pt>
                <c:pt idx="33">
                  <c:v>521.572</c:v>
                </c:pt>
                <c:pt idx="34">
                  <c:v>681.78800000000001</c:v>
                </c:pt>
                <c:pt idx="35">
                  <c:v>840.87</c:v>
                </c:pt>
                <c:pt idx="36">
                  <c:v>1241.5899999999999</c:v>
                </c:pt>
                <c:pt idx="37">
                  <c:v>1640.9</c:v>
                </c:pt>
                <c:pt idx="38">
                  <c:v>1652.12</c:v>
                </c:pt>
                <c:pt idx="39">
                  <c:v>1572.27</c:v>
                </c:pt>
              </c:numCache>
            </c:numRef>
          </c:xVal>
          <c:yVal>
            <c:numRef>
              <c:f>'[1]30-15-10'!$D$7:$D$46</c:f>
              <c:numCache>
                <c:formatCode>General</c:formatCode>
                <c:ptCount val="40"/>
                <c:pt idx="0">
                  <c:v>0</c:v>
                </c:pt>
                <c:pt idx="1">
                  <c:v>7.4278500000000004E-4</c:v>
                </c:pt>
                <c:pt idx="2">
                  <c:v>7.4278500000000004E-4</c:v>
                </c:pt>
                <c:pt idx="3">
                  <c:v>7.4278500000000004E-4</c:v>
                </c:pt>
                <c:pt idx="4">
                  <c:v>7.4278500000000004E-4</c:v>
                </c:pt>
                <c:pt idx="5">
                  <c:v>7.4278500000000004E-4</c:v>
                </c:pt>
                <c:pt idx="6">
                  <c:v>7.4278500000000004E-4</c:v>
                </c:pt>
                <c:pt idx="7">
                  <c:v>7.4278500000000004E-4</c:v>
                </c:pt>
                <c:pt idx="8">
                  <c:v>7.4278500000000004E-4</c:v>
                </c:pt>
                <c:pt idx="9">
                  <c:v>4.2546700000000003E-3</c:v>
                </c:pt>
                <c:pt idx="10">
                  <c:v>7.1782800000000004E-3</c:v>
                </c:pt>
                <c:pt idx="11">
                  <c:v>8.9847299999999998E-3</c:v>
                </c:pt>
                <c:pt idx="12">
                  <c:v>1.3714799999999999E-2</c:v>
                </c:pt>
                <c:pt idx="13">
                  <c:v>2.2747099999999999E-2</c:v>
                </c:pt>
                <c:pt idx="14">
                  <c:v>6.5412600000000001E-2</c:v>
                </c:pt>
                <c:pt idx="15">
                  <c:v>0.115993</c:v>
                </c:pt>
                <c:pt idx="16">
                  <c:v>0.13168099999999999</c:v>
                </c:pt>
                <c:pt idx="17">
                  <c:v>0.17905299999999999</c:v>
                </c:pt>
                <c:pt idx="18">
                  <c:v>0.28556199999999998</c:v>
                </c:pt>
                <c:pt idx="19">
                  <c:v>0.322357</c:v>
                </c:pt>
                <c:pt idx="20">
                  <c:v>0.38874399999999998</c:v>
                </c:pt>
                <c:pt idx="21">
                  <c:v>0.48779</c:v>
                </c:pt>
                <c:pt idx="22">
                  <c:v>0.60582800000000003</c:v>
                </c:pt>
                <c:pt idx="23">
                  <c:v>0.64537900000000004</c:v>
                </c:pt>
                <c:pt idx="24">
                  <c:v>0.71074400000000004</c:v>
                </c:pt>
                <c:pt idx="25">
                  <c:v>0.80624899999999999</c:v>
                </c:pt>
                <c:pt idx="26">
                  <c:v>0.87622500000000003</c:v>
                </c:pt>
                <c:pt idx="27">
                  <c:v>1.0088600000000001</c:v>
                </c:pt>
                <c:pt idx="28">
                  <c:v>1.04965</c:v>
                </c:pt>
                <c:pt idx="29">
                  <c:v>1.13493</c:v>
                </c:pt>
                <c:pt idx="30">
                  <c:v>1.2644200000000001</c:v>
                </c:pt>
                <c:pt idx="31">
                  <c:v>1.31158</c:v>
                </c:pt>
                <c:pt idx="32">
                  <c:v>1.38679</c:v>
                </c:pt>
                <c:pt idx="33">
                  <c:v>1.48481</c:v>
                </c:pt>
                <c:pt idx="34">
                  <c:v>1.5415700000000001</c:v>
                </c:pt>
                <c:pt idx="35">
                  <c:v>1.57599</c:v>
                </c:pt>
                <c:pt idx="36">
                  <c:v>1.61944</c:v>
                </c:pt>
                <c:pt idx="37">
                  <c:v>1.6356999999999999</c:v>
                </c:pt>
                <c:pt idx="38">
                  <c:v>1.6362699999999999</c:v>
                </c:pt>
                <c:pt idx="39">
                  <c:v>1.6368400000000001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6A-4BB4-BF51-09369026B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49408"/>
        <c:axId val="86443136"/>
      </c:scatterChart>
      <c:valAx>
        <c:axId val="88849408"/>
        <c:scaling>
          <c:orientation val="minMax"/>
          <c:min val="0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800" b="0">
                    <a:latin typeface="宋体" pitchFamily="2" charset="-122"/>
                    <a:ea typeface="宋体" pitchFamily="2" charset="-122"/>
                  </a:defRPr>
                </a:pPr>
                <a:r>
                  <a:rPr lang="en-US" altLang="zh-CN" sz="1800" b="0">
                    <a:latin typeface="宋体" pitchFamily="2" charset="-122"/>
                    <a:ea typeface="宋体" pitchFamily="2" charset="-122"/>
                  </a:rPr>
                  <a:t>Hdat(A/m)</a:t>
                </a:r>
                <a:endParaRPr lang="zh-CN" altLang="en-US" sz="1800" b="0">
                  <a:latin typeface="宋体" pitchFamily="2" charset="-122"/>
                  <a:ea typeface="宋体" pitchFamily="2" charset="-122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86443136"/>
        <c:crosses val="autoZero"/>
        <c:crossBetween val="midCat"/>
      </c:valAx>
      <c:valAx>
        <c:axId val="864431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800" b="0">
                    <a:latin typeface="宋体" pitchFamily="2" charset="-122"/>
                    <a:ea typeface="宋体" pitchFamily="2" charset="-122"/>
                  </a:defRPr>
                </a:pPr>
                <a:r>
                  <a:rPr lang="en-US" altLang="zh-CN" sz="1800" b="0">
                    <a:latin typeface="宋体" pitchFamily="2" charset="-122"/>
                    <a:ea typeface="宋体" pitchFamily="2" charset="-122"/>
                  </a:rPr>
                  <a:t>Bdat(T)</a:t>
                </a:r>
                <a:endParaRPr lang="zh-CN" altLang="en-US" sz="1800" b="0">
                  <a:latin typeface="宋体" pitchFamily="2" charset="-122"/>
                  <a:ea typeface="宋体" pitchFamily="2" charset="-122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888494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2663919837620314"/>
          <c:y val="0.42877642255125897"/>
          <c:w val="0.16089562709092181"/>
          <c:h val="0.1025980672143704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>
                <a:latin typeface="宋体" pitchFamily="2" charset="-122"/>
                <a:ea typeface="宋体" pitchFamily="2" charset="-122"/>
              </a:defRPr>
            </a:pPr>
            <a:r>
              <a:rPr lang="zh-CN" altLang="en-US" sz="1800" b="0">
                <a:latin typeface="宋体" pitchFamily="2" charset="-122"/>
                <a:ea typeface="宋体" pitchFamily="2" charset="-122"/>
              </a:rPr>
              <a:t>外加磁场下非晶不同有效磁导率抗饱和能力</a:t>
            </a:r>
            <a:endParaRPr lang="en-US" altLang="zh-CN" sz="1800" b="0">
              <a:latin typeface="宋体" pitchFamily="2" charset="-122"/>
              <a:ea typeface="宋体" pitchFamily="2" charset="-122"/>
            </a:endParaRPr>
          </a:p>
          <a:p>
            <a:pPr>
              <a:defRPr sz="1800" b="0">
                <a:latin typeface="宋体" pitchFamily="2" charset="-122"/>
                <a:ea typeface="宋体" pitchFamily="2" charset="-122"/>
              </a:defRPr>
            </a:pPr>
            <a:r>
              <a:rPr lang="en-US" altLang="zh-CN" sz="1800" b="0">
                <a:latin typeface="宋体" pitchFamily="2" charset="-122"/>
                <a:ea typeface="宋体" pitchFamily="2" charset="-122"/>
              </a:rPr>
              <a:t>Amorphous</a:t>
            </a:r>
            <a:r>
              <a:rPr lang="en-US" altLang="zh-CN" sz="1800" b="0" baseline="0">
                <a:latin typeface="宋体" pitchFamily="2" charset="-122"/>
                <a:ea typeface="宋体" pitchFamily="2" charset="-122"/>
              </a:rPr>
              <a:t> Cut Core DC-Bias Curve</a:t>
            </a:r>
            <a:endParaRPr lang="zh-CN" altLang="en-US" sz="1800" b="0">
              <a:latin typeface="宋体" pitchFamily="2" charset="-122"/>
              <a:ea typeface="宋体" pitchFamily="2" charset="-122"/>
            </a:endParaRPr>
          </a:p>
        </c:rich>
      </c:tx>
      <c:layout>
        <c:manualLayout>
          <c:xMode val="edge"/>
          <c:yMode val="edge"/>
          <c:x val="0.21912901912901914"/>
          <c:y val="2.28571428571428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707507715381732"/>
          <c:y val="0.1688952880889889"/>
          <c:w val="0.68346213133614597"/>
          <c:h val="0.6608147981502317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[2]不同磁导率抗偏置能力!$E$4</c:f>
              <c:strCache>
                <c:ptCount val="1"/>
                <c:pt idx="0">
                  <c:v>μ31.3</c:v>
                </c:pt>
              </c:strCache>
            </c:strRef>
          </c:tx>
          <c:marker>
            <c:symbol val="none"/>
          </c:marker>
          <c:xVal>
            <c:numRef>
              <c:f>[2]不同磁导率抗偏置能力!$C$5:$C$62</c:f>
              <c:numCache>
                <c:formatCode>General</c:formatCode>
                <c:ptCount val="58"/>
                <c:pt idx="0">
                  <c:v>0</c:v>
                </c:pt>
                <c:pt idx="1">
                  <c:v>2222.2222222222222</c:v>
                </c:pt>
                <c:pt idx="2">
                  <c:v>2777.7777777777778</c:v>
                </c:pt>
                <c:pt idx="3">
                  <c:v>3333.3333333333335</c:v>
                </c:pt>
                <c:pt idx="4">
                  <c:v>3888.8888888888891</c:v>
                </c:pt>
                <c:pt idx="5">
                  <c:v>4444.4444444444443</c:v>
                </c:pt>
                <c:pt idx="6">
                  <c:v>5000</c:v>
                </c:pt>
                <c:pt idx="7">
                  <c:v>5555.5555555555557</c:v>
                </c:pt>
                <c:pt idx="8">
                  <c:v>6111.1111111111113</c:v>
                </c:pt>
                <c:pt idx="9">
                  <c:v>6666.666666666667</c:v>
                </c:pt>
                <c:pt idx="10">
                  <c:v>7222.2222222222226</c:v>
                </c:pt>
                <c:pt idx="11">
                  <c:v>7777.7777777777783</c:v>
                </c:pt>
                <c:pt idx="12">
                  <c:v>8333.3333333333339</c:v>
                </c:pt>
                <c:pt idx="13">
                  <c:v>8888.8888888888887</c:v>
                </c:pt>
                <c:pt idx="14">
                  <c:v>9444.4444444444453</c:v>
                </c:pt>
                <c:pt idx="15">
                  <c:v>10000</c:v>
                </c:pt>
                <c:pt idx="16">
                  <c:v>10555.555555555557</c:v>
                </c:pt>
                <c:pt idx="17">
                  <c:v>11111.111111111111</c:v>
                </c:pt>
                <c:pt idx="18">
                  <c:v>11666.666666666668</c:v>
                </c:pt>
                <c:pt idx="19">
                  <c:v>12222.222222222223</c:v>
                </c:pt>
                <c:pt idx="20">
                  <c:v>12777.777777777777</c:v>
                </c:pt>
                <c:pt idx="21">
                  <c:v>13333.333333333334</c:v>
                </c:pt>
                <c:pt idx="22">
                  <c:v>13888.888888888889</c:v>
                </c:pt>
                <c:pt idx="23">
                  <c:v>14444.444444444445</c:v>
                </c:pt>
                <c:pt idx="24">
                  <c:v>15000</c:v>
                </c:pt>
                <c:pt idx="25">
                  <c:v>15555.555555555557</c:v>
                </c:pt>
                <c:pt idx="26">
                  <c:v>16111.111111111111</c:v>
                </c:pt>
                <c:pt idx="27">
                  <c:v>16666.666666666668</c:v>
                </c:pt>
                <c:pt idx="28">
                  <c:v>17222.222222222223</c:v>
                </c:pt>
                <c:pt idx="29">
                  <c:v>17777.777777777777</c:v>
                </c:pt>
                <c:pt idx="30">
                  <c:v>18333.333333333336</c:v>
                </c:pt>
                <c:pt idx="31">
                  <c:v>18888.888888888891</c:v>
                </c:pt>
                <c:pt idx="32">
                  <c:v>19444.444444444445</c:v>
                </c:pt>
                <c:pt idx="33">
                  <c:v>20000</c:v>
                </c:pt>
                <c:pt idx="34">
                  <c:v>20555.555555555555</c:v>
                </c:pt>
                <c:pt idx="35">
                  <c:v>21111.111111111113</c:v>
                </c:pt>
                <c:pt idx="36">
                  <c:v>21666.666666666668</c:v>
                </c:pt>
                <c:pt idx="37">
                  <c:v>22222.222222222223</c:v>
                </c:pt>
                <c:pt idx="38">
                  <c:v>22777.777777777777</c:v>
                </c:pt>
                <c:pt idx="39">
                  <c:v>23333.333333333336</c:v>
                </c:pt>
                <c:pt idx="40">
                  <c:v>23888.888888888891</c:v>
                </c:pt>
                <c:pt idx="41">
                  <c:v>24444.444444444445</c:v>
                </c:pt>
                <c:pt idx="42">
                  <c:v>25000</c:v>
                </c:pt>
                <c:pt idx="43">
                  <c:v>25555.555555555555</c:v>
                </c:pt>
                <c:pt idx="44">
                  <c:v>26111.111111111113</c:v>
                </c:pt>
                <c:pt idx="45">
                  <c:v>26666.666666666668</c:v>
                </c:pt>
                <c:pt idx="46">
                  <c:v>27222.222222222223</c:v>
                </c:pt>
                <c:pt idx="47">
                  <c:v>27777.777777777777</c:v>
                </c:pt>
                <c:pt idx="48">
                  <c:v>28333.333333333336</c:v>
                </c:pt>
                <c:pt idx="49">
                  <c:v>28888.888888888891</c:v>
                </c:pt>
                <c:pt idx="50">
                  <c:v>29444.444444444445</c:v>
                </c:pt>
                <c:pt idx="51">
                  <c:v>30000</c:v>
                </c:pt>
                <c:pt idx="52">
                  <c:v>30555.555555555558</c:v>
                </c:pt>
                <c:pt idx="53">
                  <c:v>31111.111111111113</c:v>
                </c:pt>
                <c:pt idx="54">
                  <c:v>31666.666666666668</c:v>
                </c:pt>
                <c:pt idx="55">
                  <c:v>32222.222222222223</c:v>
                </c:pt>
                <c:pt idx="56">
                  <c:v>32777.777777777781</c:v>
                </c:pt>
                <c:pt idx="57">
                  <c:v>33333.333333333336</c:v>
                </c:pt>
              </c:numCache>
            </c:numRef>
          </c:xVal>
          <c:yVal>
            <c:numRef>
              <c:f>[2]不同磁导率抗偏置能力!$E$5:$E$62</c:f>
              <c:numCache>
                <c:formatCode>General</c:formatCode>
                <c:ptCount val="58"/>
                <c:pt idx="1">
                  <c:v>1.0396039603960396</c:v>
                </c:pt>
                <c:pt idx="2">
                  <c:v>1.0363036303630362</c:v>
                </c:pt>
                <c:pt idx="3">
                  <c:v>1.033003300330033</c:v>
                </c:pt>
                <c:pt idx="4">
                  <c:v>1.033003300330033</c:v>
                </c:pt>
                <c:pt idx="5">
                  <c:v>1.0297029702970297</c:v>
                </c:pt>
                <c:pt idx="6">
                  <c:v>1.0297029702970297</c:v>
                </c:pt>
                <c:pt idx="7">
                  <c:v>1.0297029702970297</c:v>
                </c:pt>
                <c:pt idx="8">
                  <c:v>1.0264026402640265</c:v>
                </c:pt>
                <c:pt idx="9">
                  <c:v>1.0264026402640265</c:v>
                </c:pt>
                <c:pt idx="10">
                  <c:v>1.023102310231023</c:v>
                </c:pt>
                <c:pt idx="11">
                  <c:v>1.0198019801980198</c:v>
                </c:pt>
                <c:pt idx="12">
                  <c:v>1.0198019801980198</c:v>
                </c:pt>
                <c:pt idx="13">
                  <c:v>1.0165016501650166</c:v>
                </c:pt>
                <c:pt idx="14">
                  <c:v>1.0165016501650166</c:v>
                </c:pt>
                <c:pt idx="15">
                  <c:v>1.0165016501650166</c:v>
                </c:pt>
                <c:pt idx="16">
                  <c:v>1.0132013201320131</c:v>
                </c:pt>
                <c:pt idx="17">
                  <c:v>1.0099009900990099</c:v>
                </c:pt>
                <c:pt idx="18">
                  <c:v>1.0099009900990099</c:v>
                </c:pt>
                <c:pt idx="19">
                  <c:v>1.0099009900990099</c:v>
                </c:pt>
                <c:pt idx="20">
                  <c:v>1.0066006600660067</c:v>
                </c:pt>
                <c:pt idx="21">
                  <c:v>1</c:v>
                </c:pt>
                <c:pt idx="22">
                  <c:v>1</c:v>
                </c:pt>
                <c:pt idx="23">
                  <c:v>0.99669966996699666</c:v>
                </c:pt>
                <c:pt idx="24">
                  <c:v>0.99339933993399343</c:v>
                </c:pt>
                <c:pt idx="25">
                  <c:v>0.99009900990099009</c:v>
                </c:pt>
                <c:pt idx="26">
                  <c:v>0.99009900990099009</c:v>
                </c:pt>
                <c:pt idx="27">
                  <c:v>0.99009900990099009</c:v>
                </c:pt>
                <c:pt idx="28">
                  <c:v>0.98679867986798675</c:v>
                </c:pt>
                <c:pt idx="29">
                  <c:v>0.98349834983498352</c:v>
                </c:pt>
                <c:pt idx="30">
                  <c:v>0.98019801980198018</c:v>
                </c:pt>
                <c:pt idx="31">
                  <c:v>0.97359735973597361</c:v>
                </c:pt>
                <c:pt idx="32">
                  <c:v>0.97029702970297027</c:v>
                </c:pt>
                <c:pt idx="33">
                  <c:v>0.97029702970297027</c:v>
                </c:pt>
                <c:pt idx="34">
                  <c:v>0.9636963696369637</c:v>
                </c:pt>
                <c:pt idx="35">
                  <c:v>0.95709570957095702</c:v>
                </c:pt>
                <c:pt idx="36">
                  <c:v>0.95379537953795368</c:v>
                </c:pt>
                <c:pt idx="37">
                  <c:v>0.94719471947194711</c:v>
                </c:pt>
                <c:pt idx="38">
                  <c:v>0.94059405940594054</c:v>
                </c:pt>
                <c:pt idx="39">
                  <c:v>0.93399339933993397</c:v>
                </c:pt>
                <c:pt idx="40">
                  <c:v>0.9273927392739274</c:v>
                </c:pt>
                <c:pt idx="41">
                  <c:v>0.91749174917491749</c:v>
                </c:pt>
                <c:pt idx="42">
                  <c:v>0.90759075907590758</c:v>
                </c:pt>
                <c:pt idx="43">
                  <c:v>0.89768976897689767</c:v>
                </c:pt>
                <c:pt idx="44">
                  <c:v>0.8910891089108911</c:v>
                </c:pt>
                <c:pt idx="45">
                  <c:v>0.88118811881188119</c:v>
                </c:pt>
                <c:pt idx="46">
                  <c:v>0.87458745874587451</c:v>
                </c:pt>
                <c:pt idx="47">
                  <c:v>0.8646864686468646</c:v>
                </c:pt>
                <c:pt idx="48">
                  <c:v>0.85148514851485146</c:v>
                </c:pt>
                <c:pt idx="49">
                  <c:v>0.83498349834983498</c:v>
                </c:pt>
                <c:pt idx="50">
                  <c:v>0.81848184818481851</c:v>
                </c:pt>
                <c:pt idx="51">
                  <c:v>0.79867986798679869</c:v>
                </c:pt>
                <c:pt idx="52">
                  <c:v>0.77227722772277219</c:v>
                </c:pt>
                <c:pt idx="53">
                  <c:v>0.72937293729372943</c:v>
                </c:pt>
                <c:pt idx="54">
                  <c:v>0.66996699669966997</c:v>
                </c:pt>
                <c:pt idx="55">
                  <c:v>0.61056105610561051</c:v>
                </c:pt>
                <c:pt idx="56">
                  <c:v>0.55775577557755773</c:v>
                </c:pt>
                <c:pt idx="57">
                  <c:v>0.52145214521452143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91-4FBB-A2D5-AD8EDF3C4ACD}"/>
            </c:ext>
          </c:extLst>
        </c:ser>
        <c:ser>
          <c:idx val="3"/>
          <c:order val="1"/>
          <c:tx>
            <c:strRef>
              <c:f>[2]不同磁导率抗偏置能力!$G$4</c:f>
              <c:strCache>
                <c:ptCount val="1"/>
                <c:pt idx="0">
                  <c:v>μ41.3</c:v>
                </c:pt>
              </c:strCache>
            </c:strRef>
          </c:tx>
          <c:marker>
            <c:symbol val="none"/>
          </c:marker>
          <c:xVal>
            <c:numRef>
              <c:f>[2]不同磁导率抗偏置能力!$C$5:$C$62</c:f>
              <c:numCache>
                <c:formatCode>General</c:formatCode>
                <c:ptCount val="58"/>
                <c:pt idx="0">
                  <c:v>0</c:v>
                </c:pt>
                <c:pt idx="1">
                  <c:v>2222.2222222222222</c:v>
                </c:pt>
                <c:pt idx="2">
                  <c:v>2777.7777777777778</c:v>
                </c:pt>
                <c:pt idx="3">
                  <c:v>3333.3333333333335</c:v>
                </c:pt>
                <c:pt idx="4">
                  <c:v>3888.8888888888891</c:v>
                </c:pt>
                <c:pt idx="5">
                  <c:v>4444.4444444444443</c:v>
                </c:pt>
                <c:pt idx="6">
                  <c:v>5000</c:v>
                </c:pt>
                <c:pt idx="7">
                  <c:v>5555.5555555555557</c:v>
                </c:pt>
                <c:pt idx="8">
                  <c:v>6111.1111111111113</c:v>
                </c:pt>
                <c:pt idx="9">
                  <c:v>6666.666666666667</c:v>
                </c:pt>
                <c:pt idx="10">
                  <c:v>7222.2222222222226</c:v>
                </c:pt>
                <c:pt idx="11">
                  <c:v>7777.7777777777783</c:v>
                </c:pt>
                <c:pt idx="12">
                  <c:v>8333.3333333333339</c:v>
                </c:pt>
                <c:pt idx="13">
                  <c:v>8888.8888888888887</c:v>
                </c:pt>
                <c:pt idx="14">
                  <c:v>9444.4444444444453</c:v>
                </c:pt>
                <c:pt idx="15">
                  <c:v>10000</c:v>
                </c:pt>
                <c:pt idx="16">
                  <c:v>10555.555555555557</c:v>
                </c:pt>
                <c:pt idx="17">
                  <c:v>11111.111111111111</c:v>
                </c:pt>
                <c:pt idx="18">
                  <c:v>11666.666666666668</c:v>
                </c:pt>
                <c:pt idx="19">
                  <c:v>12222.222222222223</c:v>
                </c:pt>
                <c:pt idx="20">
                  <c:v>12777.777777777777</c:v>
                </c:pt>
                <c:pt idx="21">
                  <c:v>13333.333333333334</c:v>
                </c:pt>
                <c:pt idx="22">
                  <c:v>13888.888888888889</c:v>
                </c:pt>
                <c:pt idx="23">
                  <c:v>14444.444444444445</c:v>
                </c:pt>
                <c:pt idx="24">
                  <c:v>15000</c:v>
                </c:pt>
                <c:pt idx="25">
                  <c:v>15555.555555555557</c:v>
                </c:pt>
                <c:pt idx="26">
                  <c:v>16111.111111111111</c:v>
                </c:pt>
                <c:pt idx="27">
                  <c:v>16666.666666666668</c:v>
                </c:pt>
                <c:pt idx="28">
                  <c:v>17222.222222222223</c:v>
                </c:pt>
                <c:pt idx="29">
                  <c:v>17777.777777777777</c:v>
                </c:pt>
                <c:pt idx="30">
                  <c:v>18333.333333333336</c:v>
                </c:pt>
                <c:pt idx="31">
                  <c:v>18888.888888888891</c:v>
                </c:pt>
                <c:pt idx="32">
                  <c:v>19444.444444444445</c:v>
                </c:pt>
                <c:pt idx="33">
                  <c:v>20000</c:v>
                </c:pt>
                <c:pt idx="34">
                  <c:v>20555.555555555555</c:v>
                </c:pt>
                <c:pt idx="35">
                  <c:v>21111.111111111113</c:v>
                </c:pt>
                <c:pt idx="36">
                  <c:v>21666.666666666668</c:v>
                </c:pt>
                <c:pt idx="37">
                  <c:v>22222.222222222223</c:v>
                </c:pt>
                <c:pt idx="38">
                  <c:v>22777.777777777777</c:v>
                </c:pt>
                <c:pt idx="39">
                  <c:v>23333.333333333336</c:v>
                </c:pt>
                <c:pt idx="40">
                  <c:v>23888.888888888891</c:v>
                </c:pt>
                <c:pt idx="41">
                  <c:v>24444.444444444445</c:v>
                </c:pt>
                <c:pt idx="42">
                  <c:v>25000</c:v>
                </c:pt>
                <c:pt idx="43">
                  <c:v>25555.555555555555</c:v>
                </c:pt>
                <c:pt idx="44">
                  <c:v>26111.111111111113</c:v>
                </c:pt>
                <c:pt idx="45">
                  <c:v>26666.666666666668</c:v>
                </c:pt>
                <c:pt idx="46">
                  <c:v>27222.222222222223</c:v>
                </c:pt>
                <c:pt idx="47">
                  <c:v>27777.777777777777</c:v>
                </c:pt>
                <c:pt idx="48">
                  <c:v>28333.333333333336</c:v>
                </c:pt>
                <c:pt idx="49">
                  <c:v>28888.888888888891</c:v>
                </c:pt>
                <c:pt idx="50">
                  <c:v>29444.444444444445</c:v>
                </c:pt>
                <c:pt idx="51">
                  <c:v>30000</c:v>
                </c:pt>
                <c:pt idx="52">
                  <c:v>30555.555555555558</c:v>
                </c:pt>
                <c:pt idx="53">
                  <c:v>31111.111111111113</c:v>
                </c:pt>
                <c:pt idx="54">
                  <c:v>31666.666666666668</c:v>
                </c:pt>
                <c:pt idx="55">
                  <c:v>32222.222222222223</c:v>
                </c:pt>
                <c:pt idx="56">
                  <c:v>32777.777777777781</c:v>
                </c:pt>
                <c:pt idx="57">
                  <c:v>33333.333333333336</c:v>
                </c:pt>
              </c:numCache>
            </c:numRef>
          </c:xVal>
          <c:yVal>
            <c:numRef>
              <c:f>[2]不同磁导率抗偏置能力!$G$5:$G$62</c:f>
              <c:numCache>
                <c:formatCode>General</c:formatCode>
                <c:ptCount val="58"/>
                <c:pt idx="1">
                  <c:v>1.0974999999999999</c:v>
                </c:pt>
                <c:pt idx="2">
                  <c:v>1.095</c:v>
                </c:pt>
                <c:pt idx="3">
                  <c:v>1.0900000000000001</c:v>
                </c:pt>
                <c:pt idx="4">
                  <c:v>1.0825</c:v>
                </c:pt>
                <c:pt idx="5">
                  <c:v>1.0825</c:v>
                </c:pt>
                <c:pt idx="6">
                  <c:v>1.085</c:v>
                </c:pt>
                <c:pt idx="7">
                  <c:v>1.0825</c:v>
                </c:pt>
                <c:pt idx="8">
                  <c:v>1.075</c:v>
                </c:pt>
                <c:pt idx="9">
                  <c:v>1.0699999999999998</c:v>
                </c:pt>
                <c:pt idx="10">
                  <c:v>1.0675000000000001</c:v>
                </c:pt>
                <c:pt idx="11">
                  <c:v>1.0649999999999999</c:v>
                </c:pt>
                <c:pt idx="12">
                  <c:v>1.0625</c:v>
                </c:pt>
                <c:pt idx="13">
                  <c:v>1.0574999999999999</c:v>
                </c:pt>
                <c:pt idx="14">
                  <c:v>1.0550000000000002</c:v>
                </c:pt>
                <c:pt idx="15">
                  <c:v>1.0550000000000002</c:v>
                </c:pt>
                <c:pt idx="16">
                  <c:v>1.05</c:v>
                </c:pt>
                <c:pt idx="17">
                  <c:v>1.0449999999999999</c:v>
                </c:pt>
                <c:pt idx="18">
                  <c:v>1.04</c:v>
                </c:pt>
                <c:pt idx="19">
                  <c:v>1.0375000000000001</c:v>
                </c:pt>
                <c:pt idx="20">
                  <c:v>1.0349999999999999</c:v>
                </c:pt>
                <c:pt idx="21">
                  <c:v>1.0275000000000001</c:v>
                </c:pt>
                <c:pt idx="22">
                  <c:v>1.02</c:v>
                </c:pt>
                <c:pt idx="23">
                  <c:v>1.0125</c:v>
                </c:pt>
                <c:pt idx="24">
                  <c:v>1.0024999999999999</c:v>
                </c:pt>
                <c:pt idx="25">
                  <c:v>0.99749999999999994</c:v>
                </c:pt>
                <c:pt idx="26">
                  <c:v>0.99250000000000005</c:v>
                </c:pt>
                <c:pt idx="27">
                  <c:v>0.98499999999999999</c:v>
                </c:pt>
                <c:pt idx="28">
                  <c:v>0.97750000000000004</c:v>
                </c:pt>
                <c:pt idx="29">
                  <c:v>0.97</c:v>
                </c:pt>
                <c:pt idx="30">
                  <c:v>0.96</c:v>
                </c:pt>
                <c:pt idx="31">
                  <c:v>0.95</c:v>
                </c:pt>
                <c:pt idx="32">
                  <c:v>0.94000000000000006</c:v>
                </c:pt>
                <c:pt idx="33">
                  <c:v>0.93</c:v>
                </c:pt>
                <c:pt idx="34">
                  <c:v>0.91750000000000009</c:v>
                </c:pt>
                <c:pt idx="35">
                  <c:v>0.9</c:v>
                </c:pt>
                <c:pt idx="36">
                  <c:v>0.88249999999999995</c:v>
                </c:pt>
                <c:pt idx="37">
                  <c:v>0.86499999999999999</c:v>
                </c:pt>
                <c:pt idx="38">
                  <c:v>0.84250000000000003</c:v>
                </c:pt>
                <c:pt idx="39">
                  <c:v>0.82</c:v>
                </c:pt>
                <c:pt idx="40">
                  <c:v>0.79249999999999998</c:v>
                </c:pt>
                <c:pt idx="41">
                  <c:v>0.75750000000000006</c:v>
                </c:pt>
                <c:pt idx="42">
                  <c:v>0.71</c:v>
                </c:pt>
                <c:pt idx="43">
                  <c:v>0.64249999999999996</c:v>
                </c:pt>
                <c:pt idx="44">
                  <c:v>0.56500000000000006</c:v>
                </c:pt>
                <c:pt idx="45">
                  <c:v>0.49749999999999994</c:v>
                </c:pt>
                <c:pt idx="46">
                  <c:v>0.44749999999999995</c:v>
                </c:pt>
                <c:pt idx="47">
                  <c:v>0.41249999999999998</c:v>
                </c:pt>
                <c:pt idx="48">
                  <c:v>0.39</c:v>
                </c:pt>
                <c:pt idx="49">
                  <c:v>0.37</c:v>
                </c:pt>
                <c:pt idx="50">
                  <c:v>0.35499999999999998</c:v>
                </c:pt>
                <c:pt idx="51">
                  <c:v>0.34249999999999997</c:v>
                </c:pt>
                <c:pt idx="52">
                  <c:v>0.32500000000000001</c:v>
                </c:pt>
                <c:pt idx="53">
                  <c:v>0.31</c:v>
                </c:pt>
                <c:pt idx="54">
                  <c:v>0.28999999999999998</c:v>
                </c:pt>
                <c:pt idx="55">
                  <c:v>0.27250000000000002</c:v>
                </c:pt>
                <c:pt idx="56">
                  <c:v>0.255</c:v>
                </c:pt>
                <c:pt idx="57">
                  <c:v>0.23650000000000002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91-4FBB-A2D5-AD8EDF3C4ACD}"/>
            </c:ext>
          </c:extLst>
        </c:ser>
        <c:ser>
          <c:idx val="5"/>
          <c:order val="2"/>
          <c:tx>
            <c:strRef>
              <c:f>[2]不同磁导率抗偏置能力!$I$4</c:f>
              <c:strCache>
                <c:ptCount val="1"/>
                <c:pt idx="0">
                  <c:v>μ60.2</c:v>
                </c:pt>
              </c:strCache>
            </c:strRef>
          </c:tx>
          <c:marker>
            <c:symbol val="none"/>
          </c:marker>
          <c:xVal>
            <c:numRef>
              <c:f>[2]不同磁导率抗偏置能力!$C$5:$C$62</c:f>
              <c:numCache>
                <c:formatCode>General</c:formatCode>
                <c:ptCount val="58"/>
                <c:pt idx="0">
                  <c:v>0</c:v>
                </c:pt>
                <c:pt idx="1">
                  <c:v>2222.2222222222222</c:v>
                </c:pt>
                <c:pt idx="2">
                  <c:v>2777.7777777777778</c:v>
                </c:pt>
                <c:pt idx="3">
                  <c:v>3333.3333333333335</c:v>
                </c:pt>
                <c:pt idx="4">
                  <c:v>3888.8888888888891</c:v>
                </c:pt>
                <c:pt idx="5">
                  <c:v>4444.4444444444443</c:v>
                </c:pt>
                <c:pt idx="6">
                  <c:v>5000</c:v>
                </c:pt>
                <c:pt idx="7">
                  <c:v>5555.5555555555557</c:v>
                </c:pt>
                <c:pt idx="8">
                  <c:v>6111.1111111111113</c:v>
                </c:pt>
                <c:pt idx="9">
                  <c:v>6666.666666666667</c:v>
                </c:pt>
                <c:pt idx="10">
                  <c:v>7222.2222222222226</c:v>
                </c:pt>
                <c:pt idx="11">
                  <c:v>7777.7777777777783</c:v>
                </c:pt>
                <c:pt idx="12">
                  <c:v>8333.3333333333339</c:v>
                </c:pt>
                <c:pt idx="13">
                  <c:v>8888.8888888888887</c:v>
                </c:pt>
                <c:pt idx="14">
                  <c:v>9444.4444444444453</c:v>
                </c:pt>
                <c:pt idx="15">
                  <c:v>10000</c:v>
                </c:pt>
                <c:pt idx="16">
                  <c:v>10555.555555555557</c:v>
                </c:pt>
                <c:pt idx="17">
                  <c:v>11111.111111111111</c:v>
                </c:pt>
                <c:pt idx="18">
                  <c:v>11666.666666666668</c:v>
                </c:pt>
                <c:pt idx="19">
                  <c:v>12222.222222222223</c:v>
                </c:pt>
                <c:pt idx="20">
                  <c:v>12777.777777777777</c:v>
                </c:pt>
                <c:pt idx="21">
                  <c:v>13333.333333333334</c:v>
                </c:pt>
                <c:pt idx="22">
                  <c:v>13888.888888888889</c:v>
                </c:pt>
                <c:pt idx="23">
                  <c:v>14444.444444444445</c:v>
                </c:pt>
                <c:pt idx="24">
                  <c:v>15000</c:v>
                </c:pt>
                <c:pt idx="25">
                  <c:v>15555.555555555557</c:v>
                </c:pt>
                <c:pt idx="26">
                  <c:v>16111.111111111111</c:v>
                </c:pt>
                <c:pt idx="27">
                  <c:v>16666.666666666668</c:v>
                </c:pt>
                <c:pt idx="28">
                  <c:v>17222.222222222223</c:v>
                </c:pt>
                <c:pt idx="29">
                  <c:v>17777.777777777777</c:v>
                </c:pt>
                <c:pt idx="30">
                  <c:v>18333.333333333336</c:v>
                </c:pt>
                <c:pt idx="31">
                  <c:v>18888.888888888891</c:v>
                </c:pt>
                <c:pt idx="32">
                  <c:v>19444.444444444445</c:v>
                </c:pt>
                <c:pt idx="33">
                  <c:v>20000</c:v>
                </c:pt>
                <c:pt idx="34">
                  <c:v>20555.555555555555</c:v>
                </c:pt>
                <c:pt idx="35">
                  <c:v>21111.111111111113</c:v>
                </c:pt>
                <c:pt idx="36">
                  <c:v>21666.666666666668</c:v>
                </c:pt>
                <c:pt idx="37">
                  <c:v>22222.222222222223</c:v>
                </c:pt>
                <c:pt idx="38">
                  <c:v>22777.777777777777</c:v>
                </c:pt>
                <c:pt idx="39">
                  <c:v>23333.333333333336</c:v>
                </c:pt>
                <c:pt idx="40">
                  <c:v>23888.888888888891</c:v>
                </c:pt>
                <c:pt idx="41">
                  <c:v>24444.444444444445</c:v>
                </c:pt>
                <c:pt idx="42">
                  <c:v>25000</c:v>
                </c:pt>
                <c:pt idx="43">
                  <c:v>25555.555555555555</c:v>
                </c:pt>
                <c:pt idx="44">
                  <c:v>26111.111111111113</c:v>
                </c:pt>
                <c:pt idx="45">
                  <c:v>26666.666666666668</c:v>
                </c:pt>
                <c:pt idx="46">
                  <c:v>27222.222222222223</c:v>
                </c:pt>
                <c:pt idx="47">
                  <c:v>27777.777777777777</c:v>
                </c:pt>
                <c:pt idx="48">
                  <c:v>28333.333333333336</c:v>
                </c:pt>
                <c:pt idx="49">
                  <c:v>28888.888888888891</c:v>
                </c:pt>
                <c:pt idx="50">
                  <c:v>29444.444444444445</c:v>
                </c:pt>
                <c:pt idx="51">
                  <c:v>30000</c:v>
                </c:pt>
                <c:pt idx="52">
                  <c:v>30555.555555555558</c:v>
                </c:pt>
                <c:pt idx="53">
                  <c:v>31111.111111111113</c:v>
                </c:pt>
                <c:pt idx="54">
                  <c:v>31666.666666666668</c:v>
                </c:pt>
                <c:pt idx="55">
                  <c:v>32222.222222222223</c:v>
                </c:pt>
                <c:pt idx="56">
                  <c:v>32777.777777777781</c:v>
                </c:pt>
                <c:pt idx="57">
                  <c:v>33333.333333333336</c:v>
                </c:pt>
              </c:numCache>
            </c:numRef>
          </c:xVal>
          <c:yVal>
            <c:numRef>
              <c:f>[2]不同磁导率抗偏置能力!$I$5:$I$62</c:f>
              <c:numCache>
                <c:formatCode>General</c:formatCode>
                <c:ptCount val="58"/>
                <c:pt idx="1">
                  <c:v>1.0239316239316238</c:v>
                </c:pt>
                <c:pt idx="2">
                  <c:v>1.0239316239316238</c:v>
                </c:pt>
                <c:pt idx="3">
                  <c:v>1.017094017094017</c:v>
                </c:pt>
                <c:pt idx="4">
                  <c:v>1.0119658119658119</c:v>
                </c:pt>
                <c:pt idx="5">
                  <c:v>1.0068376068376068</c:v>
                </c:pt>
                <c:pt idx="6">
                  <c:v>1.0085470085470085</c:v>
                </c:pt>
                <c:pt idx="7">
                  <c:v>1.0017094017094017</c:v>
                </c:pt>
                <c:pt idx="8">
                  <c:v>1</c:v>
                </c:pt>
                <c:pt idx="9">
                  <c:v>0.99316239316239319</c:v>
                </c:pt>
                <c:pt idx="10">
                  <c:v>0.98803418803418797</c:v>
                </c:pt>
                <c:pt idx="11">
                  <c:v>0.98119658119658115</c:v>
                </c:pt>
                <c:pt idx="12">
                  <c:v>0.97435897435897434</c:v>
                </c:pt>
                <c:pt idx="13">
                  <c:v>0.96752136752136753</c:v>
                </c:pt>
                <c:pt idx="14">
                  <c:v>0.96068376068376071</c:v>
                </c:pt>
                <c:pt idx="15">
                  <c:v>0.95897435897435901</c:v>
                </c:pt>
                <c:pt idx="16">
                  <c:v>0.9521367521367522</c:v>
                </c:pt>
                <c:pt idx="17">
                  <c:v>0.94188034188034186</c:v>
                </c:pt>
                <c:pt idx="18">
                  <c:v>0.93333333333333335</c:v>
                </c:pt>
                <c:pt idx="19">
                  <c:v>0.91794871794871802</c:v>
                </c:pt>
                <c:pt idx="20">
                  <c:v>0.9128205128205128</c:v>
                </c:pt>
                <c:pt idx="21">
                  <c:v>0.89914529914529917</c:v>
                </c:pt>
                <c:pt idx="22">
                  <c:v>0.88376068376068384</c:v>
                </c:pt>
                <c:pt idx="23">
                  <c:v>0.87179487179487181</c:v>
                </c:pt>
                <c:pt idx="24">
                  <c:v>0.85299145299145296</c:v>
                </c:pt>
                <c:pt idx="25">
                  <c:v>0.83076923076923082</c:v>
                </c:pt>
                <c:pt idx="26">
                  <c:v>0.81196581196581197</c:v>
                </c:pt>
                <c:pt idx="27">
                  <c:v>0.78632478632478631</c:v>
                </c:pt>
                <c:pt idx="28">
                  <c:v>0.75384615384615383</c:v>
                </c:pt>
                <c:pt idx="29">
                  <c:v>0.71623931623931625</c:v>
                </c:pt>
                <c:pt idx="30">
                  <c:v>0.66837606837606844</c:v>
                </c:pt>
                <c:pt idx="31">
                  <c:v>0.6</c:v>
                </c:pt>
                <c:pt idx="32">
                  <c:v>0.50598290598290596</c:v>
                </c:pt>
                <c:pt idx="33">
                  <c:v>0.42393162393162392</c:v>
                </c:pt>
                <c:pt idx="34">
                  <c:v>0.36239316239316238</c:v>
                </c:pt>
                <c:pt idx="35">
                  <c:v>0.32136752136752139</c:v>
                </c:pt>
                <c:pt idx="36">
                  <c:v>0.29401709401709403</c:v>
                </c:pt>
                <c:pt idx="37">
                  <c:v>0.27179487179487183</c:v>
                </c:pt>
                <c:pt idx="38">
                  <c:v>0.25128205128205128</c:v>
                </c:pt>
                <c:pt idx="39">
                  <c:v>0.23076923076923078</c:v>
                </c:pt>
                <c:pt idx="40">
                  <c:v>0.21025641025641026</c:v>
                </c:pt>
                <c:pt idx="41">
                  <c:v>0.19145299145299144</c:v>
                </c:pt>
                <c:pt idx="42">
                  <c:v>0.17264957264957265</c:v>
                </c:pt>
                <c:pt idx="43">
                  <c:v>0.15811965811965811</c:v>
                </c:pt>
                <c:pt idx="44">
                  <c:v>0.14495726495726496</c:v>
                </c:pt>
                <c:pt idx="45">
                  <c:v>0.13367521367521368</c:v>
                </c:pt>
                <c:pt idx="46">
                  <c:v>0.12393162393162394</c:v>
                </c:pt>
                <c:pt idx="47">
                  <c:v>0.11606837606837607</c:v>
                </c:pt>
                <c:pt idx="48">
                  <c:v>0.10957264957264957</c:v>
                </c:pt>
                <c:pt idx="49">
                  <c:v>0.10393162393162393</c:v>
                </c:pt>
                <c:pt idx="50">
                  <c:v>9.914529914529914E-2</c:v>
                </c:pt>
                <c:pt idx="51">
                  <c:v>9.5042735042735041E-2</c:v>
                </c:pt>
                <c:pt idx="52">
                  <c:v>9.1452991452991447E-2</c:v>
                </c:pt>
                <c:pt idx="53">
                  <c:v>8.8205128205128214E-2</c:v>
                </c:pt>
                <c:pt idx="54">
                  <c:v>8.5299145299145299E-2</c:v>
                </c:pt>
                <c:pt idx="55">
                  <c:v>8.2564102564102571E-2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A91-4FBB-A2D5-AD8EDF3C4ACD}"/>
            </c:ext>
          </c:extLst>
        </c:ser>
        <c:ser>
          <c:idx val="7"/>
          <c:order val="3"/>
          <c:tx>
            <c:strRef>
              <c:f>[2]不同磁导率抗偏置能力!$K$4</c:f>
              <c:strCache>
                <c:ptCount val="1"/>
                <c:pt idx="0">
                  <c:v>μ74.0</c:v>
                </c:pt>
              </c:strCache>
            </c:strRef>
          </c:tx>
          <c:marker>
            <c:symbol val="none"/>
          </c:marker>
          <c:xVal>
            <c:numRef>
              <c:f>[2]不同磁导率抗偏置能力!$C$5:$C$62</c:f>
              <c:numCache>
                <c:formatCode>General</c:formatCode>
                <c:ptCount val="58"/>
                <c:pt idx="0">
                  <c:v>0</c:v>
                </c:pt>
                <c:pt idx="1">
                  <c:v>2222.2222222222222</c:v>
                </c:pt>
                <c:pt idx="2">
                  <c:v>2777.7777777777778</c:v>
                </c:pt>
                <c:pt idx="3">
                  <c:v>3333.3333333333335</c:v>
                </c:pt>
                <c:pt idx="4">
                  <c:v>3888.8888888888891</c:v>
                </c:pt>
                <c:pt idx="5">
                  <c:v>4444.4444444444443</c:v>
                </c:pt>
                <c:pt idx="6">
                  <c:v>5000</c:v>
                </c:pt>
                <c:pt idx="7">
                  <c:v>5555.5555555555557</c:v>
                </c:pt>
                <c:pt idx="8">
                  <c:v>6111.1111111111113</c:v>
                </c:pt>
                <c:pt idx="9">
                  <c:v>6666.666666666667</c:v>
                </c:pt>
                <c:pt idx="10">
                  <c:v>7222.2222222222226</c:v>
                </c:pt>
                <c:pt idx="11">
                  <c:v>7777.7777777777783</c:v>
                </c:pt>
                <c:pt idx="12">
                  <c:v>8333.3333333333339</c:v>
                </c:pt>
                <c:pt idx="13">
                  <c:v>8888.8888888888887</c:v>
                </c:pt>
                <c:pt idx="14">
                  <c:v>9444.4444444444453</c:v>
                </c:pt>
                <c:pt idx="15">
                  <c:v>10000</c:v>
                </c:pt>
                <c:pt idx="16">
                  <c:v>10555.555555555557</c:v>
                </c:pt>
                <c:pt idx="17">
                  <c:v>11111.111111111111</c:v>
                </c:pt>
                <c:pt idx="18">
                  <c:v>11666.666666666668</c:v>
                </c:pt>
                <c:pt idx="19">
                  <c:v>12222.222222222223</c:v>
                </c:pt>
                <c:pt idx="20">
                  <c:v>12777.777777777777</c:v>
                </c:pt>
                <c:pt idx="21">
                  <c:v>13333.333333333334</c:v>
                </c:pt>
                <c:pt idx="22">
                  <c:v>13888.888888888889</c:v>
                </c:pt>
                <c:pt idx="23">
                  <c:v>14444.444444444445</c:v>
                </c:pt>
                <c:pt idx="24">
                  <c:v>15000</c:v>
                </c:pt>
                <c:pt idx="25">
                  <c:v>15555.555555555557</c:v>
                </c:pt>
                <c:pt idx="26">
                  <c:v>16111.111111111111</c:v>
                </c:pt>
                <c:pt idx="27">
                  <c:v>16666.666666666668</c:v>
                </c:pt>
                <c:pt idx="28">
                  <c:v>17222.222222222223</c:v>
                </c:pt>
                <c:pt idx="29">
                  <c:v>17777.777777777777</c:v>
                </c:pt>
                <c:pt idx="30">
                  <c:v>18333.333333333336</c:v>
                </c:pt>
                <c:pt idx="31">
                  <c:v>18888.888888888891</c:v>
                </c:pt>
                <c:pt idx="32">
                  <c:v>19444.444444444445</c:v>
                </c:pt>
                <c:pt idx="33">
                  <c:v>20000</c:v>
                </c:pt>
                <c:pt idx="34">
                  <c:v>20555.555555555555</c:v>
                </c:pt>
                <c:pt idx="35">
                  <c:v>21111.111111111113</c:v>
                </c:pt>
                <c:pt idx="36">
                  <c:v>21666.666666666668</c:v>
                </c:pt>
                <c:pt idx="37">
                  <c:v>22222.222222222223</c:v>
                </c:pt>
                <c:pt idx="38">
                  <c:v>22777.777777777777</c:v>
                </c:pt>
                <c:pt idx="39">
                  <c:v>23333.333333333336</c:v>
                </c:pt>
                <c:pt idx="40">
                  <c:v>23888.888888888891</c:v>
                </c:pt>
                <c:pt idx="41">
                  <c:v>24444.444444444445</c:v>
                </c:pt>
                <c:pt idx="42">
                  <c:v>25000</c:v>
                </c:pt>
                <c:pt idx="43">
                  <c:v>25555.555555555555</c:v>
                </c:pt>
                <c:pt idx="44">
                  <c:v>26111.111111111113</c:v>
                </c:pt>
                <c:pt idx="45">
                  <c:v>26666.666666666668</c:v>
                </c:pt>
                <c:pt idx="46">
                  <c:v>27222.222222222223</c:v>
                </c:pt>
                <c:pt idx="47">
                  <c:v>27777.777777777777</c:v>
                </c:pt>
                <c:pt idx="48">
                  <c:v>28333.333333333336</c:v>
                </c:pt>
                <c:pt idx="49">
                  <c:v>28888.888888888891</c:v>
                </c:pt>
                <c:pt idx="50">
                  <c:v>29444.444444444445</c:v>
                </c:pt>
                <c:pt idx="51">
                  <c:v>30000</c:v>
                </c:pt>
                <c:pt idx="52">
                  <c:v>30555.555555555558</c:v>
                </c:pt>
                <c:pt idx="53">
                  <c:v>31111.111111111113</c:v>
                </c:pt>
                <c:pt idx="54">
                  <c:v>31666.666666666668</c:v>
                </c:pt>
                <c:pt idx="55">
                  <c:v>32222.222222222223</c:v>
                </c:pt>
                <c:pt idx="56">
                  <c:v>32777.777777777781</c:v>
                </c:pt>
                <c:pt idx="57">
                  <c:v>33333.333333333336</c:v>
                </c:pt>
              </c:numCache>
            </c:numRef>
          </c:xVal>
          <c:yVal>
            <c:numRef>
              <c:f>[2]不同磁导率抗偏置能力!$K$5:$K$62</c:f>
              <c:numCache>
                <c:formatCode>General</c:formatCode>
                <c:ptCount val="58"/>
                <c:pt idx="1">
                  <c:v>1.020949720670391</c:v>
                </c:pt>
                <c:pt idx="2">
                  <c:v>1.0181564245810057</c:v>
                </c:pt>
                <c:pt idx="3">
                  <c:v>1.0083798882681565</c:v>
                </c:pt>
                <c:pt idx="4">
                  <c:v>1.0027932960893855</c:v>
                </c:pt>
                <c:pt idx="5">
                  <c:v>0.99720670391061472</c:v>
                </c:pt>
                <c:pt idx="6">
                  <c:v>0.99860335195530736</c:v>
                </c:pt>
                <c:pt idx="7">
                  <c:v>0.98324022346368734</c:v>
                </c:pt>
                <c:pt idx="8">
                  <c:v>0.98044692737430184</c:v>
                </c:pt>
                <c:pt idx="9">
                  <c:v>0.97346368715083809</c:v>
                </c:pt>
                <c:pt idx="10">
                  <c:v>0.9622905027932962</c:v>
                </c:pt>
                <c:pt idx="11">
                  <c:v>0.9567039106145252</c:v>
                </c:pt>
                <c:pt idx="12">
                  <c:v>0.94413407821229045</c:v>
                </c:pt>
                <c:pt idx="13">
                  <c:v>0.93435754189944153</c:v>
                </c:pt>
                <c:pt idx="14">
                  <c:v>0.91759776536312865</c:v>
                </c:pt>
                <c:pt idx="15">
                  <c:v>0.91480446927374304</c:v>
                </c:pt>
                <c:pt idx="16">
                  <c:v>0.90083798882681576</c:v>
                </c:pt>
                <c:pt idx="17">
                  <c:v>0.88128491620111737</c:v>
                </c:pt>
                <c:pt idx="18">
                  <c:v>0.86592178770949724</c:v>
                </c:pt>
                <c:pt idx="19">
                  <c:v>0.84357541899441346</c:v>
                </c:pt>
                <c:pt idx="20">
                  <c:v>0.82541899441340794</c:v>
                </c:pt>
                <c:pt idx="21">
                  <c:v>0.79748603351955316</c:v>
                </c:pt>
                <c:pt idx="22">
                  <c:v>0.76815642458100564</c:v>
                </c:pt>
                <c:pt idx="23">
                  <c:v>0.73184357541899447</c:v>
                </c:pt>
                <c:pt idx="24">
                  <c:v>0.68156424581005592</c:v>
                </c:pt>
                <c:pt idx="25">
                  <c:v>0.62150837988826824</c:v>
                </c:pt>
                <c:pt idx="26">
                  <c:v>0.55027932960893855</c:v>
                </c:pt>
                <c:pt idx="27">
                  <c:v>0.4511173184357542</c:v>
                </c:pt>
                <c:pt idx="28">
                  <c:v>0.3477653631284916</c:v>
                </c:pt>
                <c:pt idx="29">
                  <c:v>0.26955307262569833</c:v>
                </c:pt>
                <c:pt idx="30">
                  <c:v>0.21648044692737431</c:v>
                </c:pt>
                <c:pt idx="31">
                  <c:v>0.18156424581005587</c:v>
                </c:pt>
                <c:pt idx="32">
                  <c:v>0.15782122905027934</c:v>
                </c:pt>
                <c:pt idx="33">
                  <c:v>0.13952513966480448</c:v>
                </c:pt>
                <c:pt idx="34">
                  <c:v>0.12583798882681566</c:v>
                </c:pt>
                <c:pt idx="35">
                  <c:v>0.11508379888268158</c:v>
                </c:pt>
                <c:pt idx="36">
                  <c:v>0.10656424581005587</c:v>
                </c:pt>
                <c:pt idx="37">
                  <c:v>9.9581005586592192E-2</c:v>
                </c:pt>
                <c:pt idx="38">
                  <c:v>9.3854748603351953E-2</c:v>
                </c:pt>
                <c:pt idx="39">
                  <c:v>8.8826815642458118E-2</c:v>
                </c:pt>
                <c:pt idx="40">
                  <c:v>8.4636871508379896E-2</c:v>
                </c:pt>
                <c:pt idx="41">
                  <c:v>8.0865921787709502E-2</c:v>
                </c:pt>
                <c:pt idx="42">
                  <c:v>7.7513966480446936E-2</c:v>
                </c:pt>
                <c:pt idx="43">
                  <c:v>7.4441340782122917E-2</c:v>
                </c:pt>
                <c:pt idx="44">
                  <c:v>7.1648044692737431E-2</c:v>
                </c:pt>
                <c:pt idx="45">
                  <c:v>6.9134078212290506E-2</c:v>
                </c:pt>
                <c:pt idx="46">
                  <c:v>6.6759776536312862E-2</c:v>
                </c:pt>
                <c:pt idx="47">
                  <c:v>6.4664804469273751E-2</c:v>
                </c:pt>
                <c:pt idx="48">
                  <c:v>6.2569832402234654E-2</c:v>
                </c:pt>
                <c:pt idx="49">
                  <c:v>6.0893854748603364E-2</c:v>
                </c:pt>
                <c:pt idx="50">
                  <c:v>5.9217877094972074E-2</c:v>
                </c:pt>
                <c:pt idx="51">
                  <c:v>5.7821229050279331E-2</c:v>
                </c:pt>
                <c:pt idx="52">
                  <c:v>5.6564245810055869E-2</c:v>
                </c:pt>
                <c:pt idx="53">
                  <c:v>5.544692737430168E-2</c:v>
                </c:pt>
                <c:pt idx="54">
                  <c:v>5.4329608938547491E-2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A91-4FBB-A2D5-AD8EDF3C4ACD}"/>
            </c:ext>
          </c:extLst>
        </c:ser>
        <c:ser>
          <c:idx val="9"/>
          <c:order val="4"/>
          <c:tx>
            <c:strRef>
              <c:f>[2]不同磁导率抗偏置能力!$M$4</c:f>
              <c:strCache>
                <c:ptCount val="1"/>
                <c:pt idx="0">
                  <c:v>μ96.5
</c:v>
                </c:pt>
              </c:strCache>
            </c:strRef>
          </c:tx>
          <c:marker>
            <c:symbol val="none"/>
          </c:marker>
          <c:xVal>
            <c:numRef>
              <c:f>[2]不同磁导率抗偏置能力!$C$5:$C$62</c:f>
              <c:numCache>
                <c:formatCode>General</c:formatCode>
                <c:ptCount val="58"/>
                <c:pt idx="0">
                  <c:v>0</c:v>
                </c:pt>
                <c:pt idx="1">
                  <c:v>2222.2222222222222</c:v>
                </c:pt>
                <c:pt idx="2">
                  <c:v>2777.7777777777778</c:v>
                </c:pt>
                <c:pt idx="3">
                  <c:v>3333.3333333333335</c:v>
                </c:pt>
                <c:pt idx="4">
                  <c:v>3888.8888888888891</c:v>
                </c:pt>
                <c:pt idx="5">
                  <c:v>4444.4444444444443</c:v>
                </c:pt>
                <c:pt idx="6">
                  <c:v>5000</c:v>
                </c:pt>
                <c:pt idx="7">
                  <c:v>5555.5555555555557</c:v>
                </c:pt>
                <c:pt idx="8">
                  <c:v>6111.1111111111113</c:v>
                </c:pt>
                <c:pt idx="9">
                  <c:v>6666.666666666667</c:v>
                </c:pt>
                <c:pt idx="10">
                  <c:v>7222.2222222222226</c:v>
                </c:pt>
                <c:pt idx="11">
                  <c:v>7777.7777777777783</c:v>
                </c:pt>
                <c:pt idx="12">
                  <c:v>8333.3333333333339</c:v>
                </c:pt>
                <c:pt idx="13">
                  <c:v>8888.8888888888887</c:v>
                </c:pt>
                <c:pt idx="14">
                  <c:v>9444.4444444444453</c:v>
                </c:pt>
                <c:pt idx="15">
                  <c:v>10000</c:v>
                </c:pt>
                <c:pt idx="16">
                  <c:v>10555.555555555557</c:v>
                </c:pt>
                <c:pt idx="17">
                  <c:v>11111.111111111111</c:v>
                </c:pt>
                <c:pt idx="18">
                  <c:v>11666.666666666668</c:v>
                </c:pt>
                <c:pt idx="19">
                  <c:v>12222.222222222223</c:v>
                </c:pt>
                <c:pt idx="20">
                  <c:v>12777.777777777777</c:v>
                </c:pt>
                <c:pt idx="21">
                  <c:v>13333.333333333334</c:v>
                </c:pt>
                <c:pt idx="22">
                  <c:v>13888.888888888889</c:v>
                </c:pt>
                <c:pt idx="23">
                  <c:v>14444.444444444445</c:v>
                </c:pt>
                <c:pt idx="24">
                  <c:v>15000</c:v>
                </c:pt>
                <c:pt idx="25">
                  <c:v>15555.555555555557</c:v>
                </c:pt>
                <c:pt idx="26">
                  <c:v>16111.111111111111</c:v>
                </c:pt>
                <c:pt idx="27">
                  <c:v>16666.666666666668</c:v>
                </c:pt>
                <c:pt idx="28">
                  <c:v>17222.222222222223</c:v>
                </c:pt>
                <c:pt idx="29">
                  <c:v>17777.777777777777</c:v>
                </c:pt>
                <c:pt idx="30">
                  <c:v>18333.333333333336</c:v>
                </c:pt>
                <c:pt idx="31">
                  <c:v>18888.888888888891</c:v>
                </c:pt>
                <c:pt idx="32">
                  <c:v>19444.444444444445</c:v>
                </c:pt>
                <c:pt idx="33">
                  <c:v>20000</c:v>
                </c:pt>
                <c:pt idx="34">
                  <c:v>20555.555555555555</c:v>
                </c:pt>
                <c:pt idx="35">
                  <c:v>21111.111111111113</c:v>
                </c:pt>
                <c:pt idx="36">
                  <c:v>21666.666666666668</c:v>
                </c:pt>
                <c:pt idx="37">
                  <c:v>22222.222222222223</c:v>
                </c:pt>
                <c:pt idx="38">
                  <c:v>22777.777777777777</c:v>
                </c:pt>
                <c:pt idx="39">
                  <c:v>23333.333333333336</c:v>
                </c:pt>
                <c:pt idx="40">
                  <c:v>23888.888888888891</c:v>
                </c:pt>
                <c:pt idx="41">
                  <c:v>24444.444444444445</c:v>
                </c:pt>
                <c:pt idx="42">
                  <c:v>25000</c:v>
                </c:pt>
                <c:pt idx="43">
                  <c:v>25555.555555555555</c:v>
                </c:pt>
                <c:pt idx="44">
                  <c:v>26111.111111111113</c:v>
                </c:pt>
                <c:pt idx="45">
                  <c:v>26666.666666666668</c:v>
                </c:pt>
                <c:pt idx="46">
                  <c:v>27222.222222222223</c:v>
                </c:pt>
                <c:pt idx="47">
                  <c:v>27777.777777777777</c:v>
                </c:pt>
                <c:pt idx="48">
                  <c:v>28333.333333333336</c:v>
                </c:pt>
                <c:pt idx="49">
                  <c:v>28888.888888888891</c:v>
                </c:pt>
                <c:pt idx="50">
                  <c:v>29444.444444444445</c:v>
                </c:pt>
                <c:pt idx="51">
                  <c:v>30000</c:v>
                </c:pt>
                <c:pt idx="52">
                  <c:v>30555.555555555558</c:v>
                </c:pt>
                <c:pt idx="53">
                  <c:v>31111.111111111113</c:v>
                </c:pt>
                <c:pt idx="54">
                  <c:v>31666.666666666668</c:v>
                </c:pt>
                <c:pt idx="55">
                  <c:v>32222.222222222223</c:v>
                </c:pt>
                <c:pt idx="56">
                  <c:v>32777.777777777781</c:v>
                </c:pt>
                <c:pt idx="57">
                  <c:v>33333.333333333336</c:v>
                </c:pt>
              </c:numCache>
            </c:numRef>
          </c:xVal>
          <c:yVal>
            <c:numRef>
              <c:f>[2]不同磁导率抗偏置能力!$M$5:$M$62</c:f>
              <c:numCache>
                <c:formatCode>General</c:formatCode>
                <c:ptCount val="58"/>
                <c:pt idx="1">
                  <c:v>1.0235546038543897</c:v>
                </c:pt>
                <c:pt idx="2">
                  <c:v>1.019271948608137</c:v>
                </c:pt>
                <c:pt idx="3">
                  <c:v>1.0032119914346895</c:v>
                </c:pt>
                <c:pt idx="4">
                  <c:v>0.99357601713062094</c:v>
                </c:pt>
                <c:pt idx="5">
                  <c:v>0.97965738758029974</c:v>
                </c:pt>
                <c:pt idx="6">
                  <c:v>0.98072805139186281</c:v>
                </c:pt>
                <c:pt idx="7">
                  <c:v>0.95931477516059949</c:v>
                </c:pt>
                <c:pt idx="8">
                  <c:v>0.94646680942184158</c:v>
                </c:pt>
                <c:pt idx="9">
                  <c:v>0.93790149892933605</c:v>
                </c:pt>
                <c:pt idx="10">
                  <c:v>0.91755888650963591</c:v>
                </c:pt>
                <c:pt idx="11">
                  <c:v>0.90042826552462518</c:v>
                </c:pt>
                <c:pt idx="12">
                  <c:v>0.87473233404710915</c:v>
                </c:pt>
                <c:pt idx="13">
                  <c:v>0.8586723768736616</c:v>
                </c:pt>
                <c:pt idx="14">
                  <c:v>0.82334047109207709</c:v>
                </c:pt>
                <c:pt idx="15">
                  <c:v>0.80085653104925048</c:v>
                </c:pt>
                <c:pt idx="16">
                  <c:v>0.75481798715203419</c:v>
                </c:pt>
                <c:pt idx="17">
                  <c:v>0.69700214132762306</c:v>
                </c:pt>
                <c:pt idx="18">
                  <c:v>0.62955032119914345</c:v>
                </c:pt>
                <c:pt idx="19">
                  <c:v>0.52997858672376874</c:v>
                </c:pt>
                <c:pt idx="20">
                  <c:v>0.40792291220556742</c:v>
                </c:pt>
                <c:pt idx="21">
                  <c:v>0.30406852248394001</c:v>
                </c:pt>
                <c:pt idx="22">
                  <c:v>0.23554603854389719</c:v>
                </c:pt>
                <c:pt idx="23">
                  <c:v>0.19164882226980726</c:v>
                </c:pt>
                <c:pt idx="24">
                  <c:v>0.15952890792291219</c:v>
                </c:pt>
                <c:pt idx="25">
                  <c:v>0.13704496788008566</c:v>
                </c:pt>
                <c:pt idx="26">
                  <c:v>0.11991434689507494</c:v>
                </c:pt>
                <c:pt idx="27">
                  <c:v>0.106423982869379</c:v>
                </c:pt>
                <c:pt idx="28">
                  <c:v>9.5610278372590993E-2</c:v>
                </c:pt>
                <c:pt idx="29">
                  <c:v>8.6937901498929326E-2</c:v>
                </c:pt>
                <c:pt idx="30">
                  <c:v>7.9871520342612412E-2</c:v>
                </c:pt>
                <c:pt idx="31">
                  <c:v>7.3982869379014993E-2</c:v>
                </c:pt>
                <c:pt idx="32">
                  <c:v>6.9057815845824405E-2</c:v>
                </c:pt>
                <c:pt idx="33">
                  <c:v>6.4775160599571724E-2</c:v>
                </c:pt>
                <c:pt idx="34">
                  <c:v>6.1241970021413267E-2</c:v>
                </c:pt>
                <c:pt idx="35">
                  <c:v>5.813704496788008E-2</c:v>
                </c:pt>
                <c:pt idx="36">
                  <c:v>5.5460385438972158E-2</c:v>
                </c:pt>
                <c:pt idx="37">
                  <c:v>5.2997858672376871E-2</c:v>
                </c:pt>
                <c:pt idx="38">
                  <c:v>5.0856531049250531E-2</c:v>
                </c:pt>
                <c:pt idx="39">
                  <c:v>4.8929336188436832E-2</c:v>
                </c:pt>
                <c:pt idx="40">
                  <c:v>4.7323340471092074E-2</c:v>
                </c:pt>
                <c:pt idx="41">
                  <c:v>4.5824411134903639E-2</c:v>
                </c:pt>
                <c:pt idx="42">
                  <c:v>4.4539614561027834E-2</c:v>
                </c:pt>
                <c:pt idx="43">
                  <c:v>4.3361884368308345E-2</c:v>
                </c:pt>
                <c:pt idx="44">
                  <c:v>4.2398286937901493E-2</c:v>
                </c:pt>
                <c:pt idx="45">
                  <c:v>4.1541755888650958E-2</c:v>
                </c:pt>
                <c:pt idx="46">
                  <c:v>4.0792291220556741E-2</c:v>
                </c:pt>
                <c:pt idx="47">
                  <c:v>4.0042826552462524E-2</c:v>
                </c:pt>
                <c:pt idx="48">
                  <c:v>3.9507494646680942E-2</c:v>
                </c:pt>
                <c:pt idx="49">
                  <c:v>3.8972162740899353E-2</c:v>
                </c:pt>
                <c:pt idx="50">
                  <c:v>3.8436830835117772E-2</c:v>
                </c:pt>
                <c:pt idx="51">
                  <c:v>3.8008565310492501E-2</c:v>
                </c:pt>
                <c:pt idx="52">
                  <c:v>3.758029978586723E-2</c:v>
                </c:pt>
                <c:pt idx="53">
                  <c:v>3.7259100642398284E-2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A91-4FBB-A2D5-AD8EDF3C4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101184"/>
        <c:axId val="83103104"/>
      </c:scatterChart>
      <c:valAx>
        <c:axId val="831011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800" b="0">
                    <a:latin typeface="宋体" pitchFamily="2" charset="-122"/>
                    <a:ea typeface="宋体" pitchFamily="2" charset="-122"/>
                  </a:defRPr>
                </a:pPr>
                <a:r>
                  <a:rPr lang="en-US" altLang="zh-CN" sz="1800" b="0">
                    <a:latin typeface="宋体" pitchFamily="2" charset="-122"/>
                    <a:ea typeface="宋体" pitchFamily="2" charset="-122"/>
                  </a:rPr>
                  <a:t>H</a:t>
                </a:r>
                <a:r>
                  <a:rPr lang="zh-CN" altLang="en-US" sz="1800" b="0">
                    <a:latin typeface="宋体" pitchFamily="2" charset="-122"/>
                    <a:ea typeface="宋体" pitchFamily="2" charset="-122"/>
                  </a:rPr>
                  <a:t>（</a:t>
                </a:r>
                <a:r>
                  <a:rPr lang="en-US" altLang="zh-CN" sz="1800" b="0">
                    <a:latin typeface="宋体" pitchFamily="2" charset="-122"/>
                    <a:ea typeface="宋体" pitchFamily="2" charset="-122"/>
                  </a:rPr>
                  <a:t>A/m</a:t>
                </a:r>
                <a:r>
                  <a:rPr lang="zh-CN" altLang="en-US" sz="1800" b="0">
                    <a:latin typeface="宋体" pitchFamily="2" charset="-122"/>
                    <a:ea typeface="宋体" pitchFamily="2" charset="-122"/>
                  </a:rPr>
                  <a:t>）</a:t>
                </a:r>
              </a:p>
            </c:rich>
          </c:tx>
          <c:overlay val="0"/>
        </c:title>
        <c:numFmt formatCode="#,##0_);\(#,##0\)" sourceLinked="0"/>
        <c:majorTickMark val="none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83103104"/>
        <c:crosses val="autoZero"/>
        <c:crossBetween val="midCat"/>
      </c:valAx>
      <c:valAx>
        <c:axId val="83103104"/>
        <c:scaling>
          <c:orientation val="minMax"/>
        </c:scaling>
        <c:delete val="0"/>
        <c:axPos val="l"/>
        <c:majorGridlines/>
        <c:minorGridlines/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831011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5400081400081573"/>
          <c:y val="0.21074945631796094"/>
          <c:w val="0.10692714692714705"/>
          <c:h val="0.50587876515435559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b="0">
                <a:latin typeface="宋体" pitchFamily="2" charset="-122"/>
                <a:ea typeface="宋体" pitchFamily="2" charset="-122"/>
              </a:defRPr>
            </a:pPr>
            <a:r>
              <a:rPr lang="zh-CN" altLang="en-US" sz="1800" b="1" i="0" baseline="0">
                <a:latin typeface="宋体" pitchFamily="2" charset="-122"/>
                <a:ea typeface="宋体" pitchFamily="2" charset="-122"/>
              </a:rPr>
              <a:t>非</a:t>
            </a:r>
            <a:r>
              <a:rPr lang="zh-CN" altLang="zh-CN" sz="1800" b="1" i="0" baseline="0">
                <a:latin typeface="宋体" pitchFamily="2" charset="-122"/>
                <a:ea typeface="宋体" pitchFamily="2" charset="-122"/>
              </a:rPr>
              <a:t>晶切割矩形不同频率下损耗曲线</a:t>
            </a:r>
            <a:endParaRPr lang="en-US" altLang="zh-CN" sz="1800" b="1" i="0" baseline="0">
              <a:latin typeface="宋体" pitchFamily="2" charset="-122"/>
              <a:ea typeface="宋体" pitchFamily="2" charset="-122"/>
            </a:endParaRPr>
          </a:p>
          <a:p>
            <a:pPr algn="ctr">
              <a:defRPr b="0">
                <a:latin typeface="宋体" pitchFamily="2" charset="-122"/>
                <a:ea typeface="宋体" pitchFamily="2" charset="-122"/>
              </a:defRPr>
            </a:pPr>
            <a:r>
              <a:rPr lang="en-US" altLang="zh-CN" sz="1800" b="0" i="0" baseline="0">
                <a:latin typeface="宋体" pitchFamily="2" charset="-122"/>
                <a:ea typeface="宋体" pitchFamily="2" charset="-122"/>
              </a:rPr>
              <a:t>Amorphous Cut Core P</a:t>
            </a:r>
            <a:r>
              <a:rPr lang="en-US" altLang="zh-CN" sz="1800" b="0" i="0" baseline="-25000">
                <a:latin typeface="宋体" pitchFamily="2" charset="-122"/>
                <a:ea typeface="宋体" pitchFamily="2" charset="-122"/>
              </a:rPr>
              <a:t>S</a:t>
            </a:r>
            <a:r>
              <a:rPr lang="en-US" altLang="zh-CN" sz="1800" b="0" i="0" baseline="0">
                <a:latin typeface="宋体" pitchFamily="2" charset="-122"/>
                <a:ea typeface="宋体" pitchFamily="2" charset="-122"/>
              </a:rPr>
              <a:t>-B at different frequency</a:t>
            </a:r>
            <a:endParaRPr lang="zh-CN" altLang="zh-CN">
              <a:latin typeface="宋体" pitchFamily="2" charset="-122"/>
              <a:ea typeface="宋体" pitchFamily="2" charset="-122"/>
            </a:endParaRPr>
          </a:p>
        </c:rich>
      </c:tx>
      <c:layout>
        <c:manualLayout>
          <c:xMode val="edge"/>
          <c:yMode val="edge"/>
          <c:x val="0.20724224044212236"/>
          <c:y val="1.240310077519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529996509263256E-2"/>
          <c:y val="0.13829978229465503"/>
          <c:w val="0.77886741676099602"/>
          <c:h val="0.6809216057295166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[3]非晶切割损耗曲线!$A$2</c:f>
              <c:strCache>
                <c:ptCount val="1"/>
                <c:pt idx="0">
                  <c:v>50k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[3]非晶切割损耗曲线!$B$2:$B$6</c:f>
              <c:numCache>
                <c:formatCode>General</c:formatCode>
                <c:ptCount val="5"/>
                <c:pt idx="0">
                  <c:v>0.49909999999999999</c:v>
                </c:pt>
                <c:pt idx="1">
                  <c:v>0.39989999999999998</c:v>
                </c:pt>
                <c:pt idx="2">
                  <c:v>0.30009999999999998</c:v>
                </c:pt>
                <c:pt idx="3">
                  <c:v>0.20030000000000001</c:v>
                </c:pt>
                <c:pt idx="4">
                  <c:v>0.1002</c:v>
                </c:pt>
              </c:numCache>
            </c:numRef>
          </c:xVal>
          <c:yVal>
            <c:numRef>
              <c:f>[3]非晶切割损耗曲线!$C$2:$C$6</c:f>
              <c:numCache>
                <c:formatCode>General</c:formatCode>
                <c:ptCount val="5"/>
                <c:pt idx="0">
                  <c:v>735.6</c:v>
                </c:pt>
                <c:pt idx="1">
                  <c:v>411.8</c:v>
                </c:pt>
                <c:pt idx="2">
                  <c:v>236.5</c:v>
                </c:pt>
                <c:pt idx="3">
                  <c:v>104.4</c:v>
                </c:pt>
                <c:pt idx="4">
                  <c:v>23.91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E0-438E-9AC0-72D6E8FBFD06}"/>
            </c:ext>
          </c:extLst>
        </c:ser>
        <c:ser>
          <c:idx val="1"/>
          <c:order val="1"/>
          <c:tx>
            <c:strRef>
              <c:f>[3]非晶切割损耗曲线!$A$7</c:f>
              <c:strCache>
                <c:ptCount val="1"/>
                <c:pt idx="0">
                  <c:v>40k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[3]非晶切割损耗曲线!$B$7:$B$11</c:f>
              <c:numCache>
                <c:formatCode>General</c:formatCode>
                <c:ptCount val="5"/>
                <c:pt idx="0">
                  <c:v>0.49940000000000001</c:v>
                </c:pt>
                <c:pt idx="1">
                  <c:v>0.39900000000000002</c:v>
                </c:pt>
                <c:pt idx="2">
                  <c:v>0.29949999999999999</c:v>
                </c:pt>
                <c:pt idx="3">
                  <c:v>0.19969999999999999</c:v>
                </c:pt>
                <c:pt idx="4">
                  <c:v>0.10009999999999999</c:v>
                </c:pt>
              </c:numCache>
            </c:numRef>
          </c:xVal>
          <c:yVal>
            <c:numRef>
              <c:f>[3]非晶切割损耗曲线!$C$7:$C$11</c:f>
              <c:numCache>
                <c:formatCode>General</c:formatCode>
                <c:ptCount val="5"/>
                <c:pt idx="0">
                  <c:v>513.9</c:v>
                </c:pt>
                <c:pt idx="1">
                  <c:v>306.5</c:v>
                </c:pt>
                <c:pt idx="2">
                  <c:v>171.6</c:v>
                </c:pt>
                <c:pt idx="3">
                  <c:v>74.989999999999995</c:v>
                </c:pt>
                <c:pt idx="4">
                  <c:v>18.809999999999999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E0-438E-9AC0-72D6E8FBFD06}"/>
            </c:ext>
          </c:extLst>
        </c:ser>
        <c:ser>
          <c:idx val="2"/>
          <c:order val="2"/>
          <c:tx>
            <c:strRef>
              <c:f>[3]非晶切割损耗曲线!$A$12</c:f>
              <c:strCache>
                <c:ptCount val="1"/>
                <c:pt idx="0">
                  <c:v>30k</c:v>
                </c:pt>
              </c:strCache>
            </c:strRef>
          </c:tx>
          <c:xVal>
            <c:numRef>
              <c:f>[3]非晶切割损耗曲线!$B$12:$B$17</c:f>
              <c:numCache>
                <c:formatCode>General</c:formatCode>
                <c:ptCount val="6"/>
                <c:pt idx="0">
                  <c:v>0.5988</c:v>
                </c:pt>
                <c:pt idx="1">
                  <c:v>0.49990000000000001</c:v>
                </c:pt>
                <c:pt idx="2">
                  <c:v>0.39979999999999999</c:v>
                </c:pt>
                <c:pt idx="3">
                  <c:v>0.29959999999999998</c:v>
                </c:pt>
                <c:pt idx="4">
                  <c:v>0.19950000000000001</c:v>
                </c:pt>
                <c:pt idx="5">
                  <c:v>9.9839999999999998E-2</c:v>
                </c:pt>
              </c:numCache>
            </c:numRef>
          </c:xVal>
          <c:yVal>
            <c:numRef>
              <c:f>[3]非晶切割损耗曲线!$C$12:$C$17</c:f>
              <c:numCache>
                <c:formatCode>General</c:formatCode>
                <c:ptCount val="6"/>
                <c:pt idx="0">
                  <c:v>384.7</c:v>
                </c:pt>
                <c:pt idx="1">
                  <c:v>280.10000000000002</c:v>
                </c:pt>
                <c:pt idx="2">
                  <c:v>189.2</c:v>
                </c:pt>
                <c:pt idx="3">
                  <c:v>110.6</c:v>
                </c:pt>
                <c:pt idx="4">
                  <c:v>49.77</c:v>
                </c:pt>
                <c:pt idx="5">
                  <c:v>12.64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E0-438E-9AC0-72D6E8FBFD06}"/>
            </c:ext>
          </c:extLst>
        </c:ser>
        <c:ser>
          <c:idx val="3"/>
          <c:order val="3"/>
          <c:tx>
            <c:strRef>
              <c:f>[3]非晶切割损耗曲线!$A$18</c:f>
              <c:strCache>
                <c:ptCount val="1"/>
                <c:pt idx="0">
                  <c:v>25k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[3]非晶切割损耗曲线!$B$18:$B$24</c:f>
              <c:numCache>
                <c:formatCode>General</c:formatCode>
                <c:ptCount val="7"/>
                <c:pt idx="0">
                  <c:v>0.70050000000000001</c:v>
                </c:pt>
                <c:pt idx="1">
                  <c:v>0.60040000000000004</c:v>
                </c:pt>
                <c:pt idx="2">
                  <c:v>0.49980000000000002</c:v>
                </c:pt>
                <c:pt idx="3">
                  <c:v>0.4</c:v>
                </c:pt>
                <c:pt idx="4">
                  <c:v>0.3</c:v>
                </c:pt>
                <c:pt idx="5">
                  <c:v>0.19969999999999999</c:v>
                </c:pt>
                <c:pt idx="6">
                  <c:v>9.9989999999999996E-2</c:v>
                </c:pt>
              </c:numCache>
            </c:numRef>
          </c:xVal>
          <c:yVal>
            <c:numRef>
              <c:f>[3]非晶切割损耗曲线!$C$18:$C$24</c:f>
              <c:numCache>
                <c:formatCode>General</c:formatCode>
                <c:ptCount val="7"/>
                <c:pt idx="0">
                  <c:v>390.6</c:v>
                </c:pt>
                <c:pt idx="1">
                  <c:v>302.7</c:v>
                </c:pt>
                <c:pt idx="2">
                  <c:v>220.2</c:v>
                </c:pt>
                <c:pt idx="3">
                  <c:v>148.5</c:v>
                </c:pt>
                <c:pt idx="4">
                  <c:v>87.25</c:v>
                </c:pt>
                <c:pt idx="5">
                  <c:v>39.119999999999997</c:v>
                </c:pt>
                <c:pt idx="6">
                  <c:v>9.9489999999999998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AE0-438E-9AC0-72D6E8FBFD06}"/>
            </c:ext>
          </c:extLst>
        </c:ser>
        <c:ser>
          <c:idx val="4"/>
          <c:order val="4"/>
          <c:tx>
            <c:strRef>
              <c:f>[3]非晶切割损耗曲线!$A$25</c:f>
              <c:strCache>
                <c:ptCount val="1"/>
                <c:pt idx="0">
                  <c:v>20k</c:v>
                </c:pt>
              </c:strCache>
            </c:strRef>
          </c:tx>
          <c:xVal>
            <c:numRef>
              <c:f>[3]非晶切割损耗曲线!$B$25:$B$31</c:f>
              <c:numCache>
                <c:formatCode>General</c:formatCode>
                <c:ptCount val="7"/>
                <c:pt idx="0">
                  <c:v>0.6996</c:v>
                </c:pt>
                <c:pt idx="1">
                  <c:v>0.59850000000000003</c:v>
                </c:pt>
                <c:pt idx="2">
                  <c:v>0.49940000000000001</c:v>
                </c:pt>
                <c:pt idx="3">
                  <c:v>0.3997</c:v>
                </c:pt>
                <c:pt idx="4">
                  <c:v>0.3004</c:v>
                </c:pt>
                <c:pt idx="5">
                  <c:v>0.19989999999999999</c:v>
                </c:pt>
                <c:pt idx="6">
                  <c:v>9.9979999999999999E-2</c:v>
                </c:pt>
              </c:numCache>
            </c:numRef>
          </c:xVal>
          <c:yVal>
            <c:numRef>
              <c:f>[3]非晶切割损耗曲线!$C$25:$C$31</c:f>
              <c:numCache>
                <c:formatCode>General</c:formatCode>
                <c:ptCount val="7"/>
                <c:pt idx="0">
                  <c:v>304.39999999999998</c:v>
                </c:pt>
                <c:pt idx="1">
                  <c:v>234.8</c:v>
                </c:pt>
                <c:pt idx="2">
                  <c:v>168.8</c:v>
                </c:pt>
                <c:pt idx="3">
                  <c:v>112.6</c:v>
                </c:pt>
                <c:pt idx="4">
                  <c:v>66.08</c:v>
                </c:pt>
                <c:pt idx="5">
                  <c:v>32.43</c:v>
                </c:pt>
                <c:pt idx="6">
                  <c:v>7.5129999999999999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AE0-438E-9AC0-72D6E8FBFD06}"/>
            </c:ext>
          </c:extLst>
        </c:ser>
        <c:ser>
          <c:idx val="5"/>
          <c:order val="5"/>
          <c:tx>
            <c:strRef>
              <c:f>[3]非晶切割损耗曲线!$A$32</c:f>
              <c:strCache>
                <c:ptCount val="1"/>
                <c:pt idx="0">
                  <c:v>16k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[3]非晶切割损耗曲线!$B$32:$B$38</c:f>
              <c:numCache>
                <c:formatCode>General</c:formatCode>
                <c:ptCount val="7"/>
                <c:pt idx="0">
                  <c:v>0.69930000000000003</c:v>
                </c:pt>
                <c:pt idx="1">
                  <c:v>0.5988</c:v>
                </c:pt>
                <c:pt idx="2">
                  <c:v>0.50049999999999994</c:v>
                </c:pt>
                <c:pt idx="3">
                  <c:v>0.3997</c:v>
                </c:pt>
                <c:pt idx="4">
                  <c:v>0.29909999999999998</c:v>
                </c:pt>
                <c:pt idx="5">
                  <c:v>0.19989999999999999</c:v>
                </c:pt>
                <c:pt idx="6">
                  <c:v>0.1</c:v>
                </c:pt>
              </c:numCache>
            </c:numRef>
          </c:xVal>
          <c:yVal>
            <c:numRef>
              <c:f>[3]非晶切割损耗曲线!$C$32:$C$38</c:f>
              <c:numCache>
                <c:formatCode>General</c:formatCode>
                <c:ptCount val="7"/>
                <c:pt idx="0">
                  <c:v>215</c:v>
                </c:pt>
                <c:pt idx="1">
                  <c:v>166</c:v>
                </c:pt>
                <c:pt idx="2">
                  <c:v>122</c:v>
                </c:pt>
                <c:pt idx="3">
                  <c:v>82.28</c:v>
                </c:pt>
                <c:pt idx="4">
                  <c:v>48.49</c:v>
                </c:pt>
                <c:pt idx="5">
                  <c:v>24.08</c:v>
                </c:pt>
                <c:pt idx="6">
                  <c:v>5.609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AE0-438E-9AC0-72D6E8FBFD06}"/>
            </c:ext>
          </c:extLst>
        </c:ser>
        <c:ser>
          <c:idx val="6"/>
          <c:order val="6"/>
          <c:tx>
            <c:strRef>
              <c:f>[3]非晶切割损耗曲线!$A$46</c:f>
              <c:strCache>
                <c:ptCount val="1"/>
                <c:pt idx="0">
                  <c:v>10k</c:v>
                </c:pt>
              </c:strCache>
            </c:strRef>
          </c:tx>
          <c:xVal>
            <c:numRef>
              <c:f>[3]非晶切割损耗曲线!$B$46:$B$53</c:f>
              <c:numCache>
                <c:formatCode>General</c:formatCode>
                <c:ptCount val="8"/>
                <c:pt idx="0">
                  <c:v>0.7984</c:v>
                </c:pt>
                <c:pt idx="1">
                  <c:v>0.69830000000000003</c:v>
                </c:pt>
                <c:pt idx="2">
                  <c:v>0.59860000000000002</c:v>
                </c:pt>
                <c:pt idx="3">
                  <c:v>0.49859999999999999</c:v>
                </c:pt>
                <c:pt idx="4">
                  <c:v>0.39960000000000001</c:v>
                </c:pt>
                <c:pt idx="5">
                  <c:v>0.29980000000000001</c:v>
                </c:pt>
                <c:pt idx="6">
                  <c:v>0.19989999999999999</c:v>
                </c:pt>
                <c:pt idx="7">
                  <c:v>0.1</c:v>
                </c:pt>
              </c:numCache>
            </c:numRef>
          </c:xVal>
          <c:yVal>
            <c:numRef>
              <c:f>[3]非晶切割损耗曲线!$C$46:$C$53</c:f>
              <c:numCache>
                <c:formatCode>General</c:formatCode>
                <c:ptCount val="8"/>
                <c:pt idx="0">
                  <c:v>142</c:v>
                </c:pt>
                <c:pt idx="1">
                  <c:v>113.9</c:v>
                </c:pt>
                <c:pt idx="2">
                  <c:v>88.61</c:v>
                </c:pt>
                <c:pt idx="3">
                  <c:v>64.88</c:v>
                </c:pt>
                <c:pt idx="4">
                  <c:v>47.6</c:v>
                </c:pt>
                <c:pt idx="5">
                  <c:v>28.43</c:v>
                </c:pt>
                <c:pt idx="6">
                  <c:v>13.1</c:v>
                </c:pt>
                <c:pt idx="7">
                  <c:v>3.0470000000000002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AE0-438E-9AC0-72D6E8FBFD06}"/>
            </c:ext>
          </c:extLst>
        </c:ser>
        <c:ser>
          <c:idx val="7"/>
          <c:order val="7"/>
          <c:tx>
            <c:strRef>
              <c:f>[3]非晶切割损耗曲线!$A$54</c:f>
              <c:strCache>
                <c:ptCount val="1"/>
                <c:pt idx="0">
                  <c:v>8k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[3]非晶切割损耗曲线!$B$54:$B$61</c:f>
              <c:numCache>
                <c:formatCode>General</c:formatCode>
                <c:ptCount val="8"/>
                <c:pt idx="0">
                  <c:v>0.79790000000000005</c:v>
                </c:pt>
                <c:pt idx="1">
                  <c:v>0.69869999999999999</c:v>
                </c:pt>
                <c:pt idx="2">
                  <c:v>0.59870000000000001</c:v>
                </c:pt>
                <c:pt idx="3">
                  <c:v>0.49930000000000002</c:v>
                </c:pt>
                <c:pt idx="4">
                  <c:v>0.3997</c:v>
                </c:pt>
                <c:pt idx="5">
                  <c:v>0.3</c:v>
                </c:pt>
                <c:pt idx="6">
                  <c:v>0.20019999999999999</c:v>
                </c:pt>
                <c:pt idx="7">
                  <c:v>9.9940000000000001E-2</c:v>
                </c:pt>
              </c:numCache>
            </c:numRef>
          </c:xVal>
          <c:yVal>
            <c:numRef>
              <c:f>[3]非晶切割损耗曲线!$C$54:$C$61</c:f>
              <c:numCache>
                <c:formatCode>General</c:formatCode>
                <c:ptCount val="8"/>
                <c:pt idx="0">
                  <c:v>107.6</c:v>
                </c:pt>
                <c:pt idx="1">
                  <c:v>86.38</c:v>
                </c:pt>
                <c:pt idx="2">
                  <c:v>66.489999999999995</c:v>
                </c:pt>
                <c:pt idx="3">
                  <c:v>52.09</c:v>
                </c:pt>
                <c:pt idx="4">
                  <c:v>35.729999999999997</c:v>
                </c:pt>
                <c:pt idx="5">
                  <c:v>21.46</c:v>
                </c:pt>
                <c:pt idx="6">
                  <c:v>9.9809999999999999</c:v>
                </c:pt>
                <c:pt idx="7">
                  <c:v>2.3220000000000001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AE0-438E-9AC0-72D6E8FBFD06}"/>
            </c:ext>
          </c:extLst>
        </c:ser>
        <c:ser>
          <c:idx val="8"/>
          <c:order val="8"/>
          <c:tx>
            <c:strRef>
              <c:f>[3]非晶切割损耗曲线!$A$62</c:f>
              <c:strCache>
                <c:ptCount val="1"/>
                <c:pt idx="0">
                  <c:v>5k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[3]非晶切割损耗曲线!$B$62:$B$70</c:f>
              <c:numCache>
                <c:formatCode>General</c:formatCode>
                <c:ptCount val="9"/>
                <c:pt idx="0">
                  <c:v>0.89780000000000004</c:v>
                </c:pt>
                <c:pt idx="1">
                  <c:v>0.79930000000000001</c:v>
                </c:pt>
                <c:pt idx="2">
                  <c:v>0.69820000000000004</c:v>
                </c:pt>
                <c:pt idx="3">
                  <c:v>0.59940000000000004</c:v>
                </c:pt>
                <c:pt idx="4">
                  <c:v>0.49909999999999999</c:v>
                </c:pt>
                <c:pt idx="5">
                  <c:v>0.39939999999999998</c:v>
                </c:pt>
                <c:pt idx="6">
                  <c:v>0.30009999999999998</c:v>
                </c:pt>
                <c:pt idx="7">
                  <c:v>0.2</c:v>
                </c:pt>
                <c:pt idx="8">
                  <c:v>9.9860000000000004E-2</c:v>
                </c:pt>
              </c:numCache>
            </c:numRef>
          </c:xVal>
          <c:yVal>
            <c:numRef>
              <c:f>[3]非晶切割损耗曲线!$C$62:$C$70</c:f>
              <c:numCache>
                <c:formatCode>General</c:formatCode>
                <c:ptCount val="9"/>
                <c:pt idx="0">
                  <c:v>73.63</c:v>
                </c:pt>
                <c:pt idx="1">
                  <c:v>60.91</c:v>
                </c:pt>
                <c:pt idx="2">
                  <c:v>49.21</c:v>
                </c:pt>
                <c:pt idx="3">
                  <c:v>38.42</c:v>
                </c:pt>
                <c:pt idx="4">
                  <c:v>28.63</c:v>
                </c:pt>
                <c:pt idx="5">
                  <c:v>19.75</c:v>
                </c:pt>
                <c:pt idx="6">
                  <c:v>12.09</c:v>
                </c:pt>
                <c:pt idx="7">
                  <c:v>5.77</c:v>
                </c:pt>
                <c:pt idx="8">
                  <c:v>1.387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AE0-438E-9AC0-72D6E8FBF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03648"/>
        <c:axId val="86605824"/>
      </c:scatterChart>
      <c:valAx>
        <c:axId val="8660364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800" b="0">
                    <a:latin typeface="仿宋" pitchFamily="49" charset="-122"/>
                    <a:ea typeface="仿宋" pitchFamily="49" charset="-122"/>
                  </a:defRPr>
                </a:pPr>
                <a:r>
                  <a:rPr lang="en-US" altLang="zh-CN" sz="1800" b="0">
                    <a:latin typeface="仿宋" pitchFamily="49" charset="-122"/>
                    <a:ea typeface="仿宋" pitchFamily="49" charset="-122"/>
                  </a:rPr>
                  <a:t>B</a:t>
                </a:r>
                <a:r>
                  <a:rPr lang="en-US" altLang="zh-CN" sz="1800" b="0" baseline="-25000">
                    <a:latin typeface="仿宋" pitchFamily="49" charset="-122"/>
                    <a:ea typeface="仿宋" pitchFamily="49" charset="-122"/>
                  </a:rPr>
                  <a:t>M</a:t>
                </a:r>
                <a:r>
                  <a:rPr lang="en-US" altLang="zh-CN" sz="1800" b="0">
                    <a:latin typeface="仿宋" pitchFamily="49" charset="-122"/>
                    <a:ea typeface="仿宋" pitchFamily="49" charset="-122"/>
                  </a:rPr>
                  <a:t>(T)</a:t>
                </a:r>
                <a:endParaRPr lang="zh-CN" altLang="en-US" sz="1800" b="0">
                  <a:latin typeface="仿宋" pitchFamily="49" charset="-122"/>
                  <a:ea typeface="仿宋" pitchFamily="49" charset="-122"/>
                </a:endParaRPr>
              </a:p>
            </c:rich>
          </c:tx>
          <c:layout>
            <c:manualLayout>
              <c:xMode val="edge"/>
              <c:yMode val="edge"/>
              <c:x val="0.46973455735867325"/>
              <c:y val="0.8813436692506455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86605824"/>
        <c:crosses val="autoZero"/>
        <c:crossBetween val="midCat"/>
      </c:valAx>
      <c:valAx>
        <c:axId val="86605824"/>
        <c:scaling>
          <c:logBase val="10"/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800">
                    <a:latin typeface="仿宋" pitchFamily="49" charset="-122"/>
                    <a:ea typeface="仿宋" pitchFamily="49" charset="-122"/>
                  </a:defRPr>
                </a:pPr>
                <a:r>
                  <a:rPr lang="en-US" altLang="zh-CN" sz="1800" b="0" i="0" u="none" strike="noStrike" baseline="0">
                    <a:latin typeface="仿宋" pitchFamily="49" charset="-122"/>
                    <a:ea typeface="仿宋" pitchFamily="49" charset="-122"/>
                  </a:rPr>
                  <a:t>Ps(W/kg)</a:t>
                </a:r>
                <a:endParaRPr lang="zh-CN" altLang="en-US" sz="1800" baseline="0">
                  <a:latin typeface="仿宋" pitchFamily="49" charset="-122"/>
                  <a:ea typeface="仿宋" pitchFamily="49" charset="-122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8660364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7503093053271319"/>
          <c:y val="0.29650599269496908"/>
          <c:w val="7.5825875590022684E-2"/>
          <c:h val="0.37600044050437753"/>
        </c:manualLayout>
      </c:layout>
      <c:overlay val="0"/>
      <c:txPr>
        <a:bodyPr/>
        <a:lstStyle/>
        <a:p>
          <a:pPr>
            <a:defRPr>
              <a:latin typeface="仿宋" pitchFamily="49" charset="-122"/>
              <a:ea typeface="仿宋" pitchFamily="49" charset="-122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152399</xdr:colOff>
      <xdr:row>3</xdr:row>
      <xdr:rowOff>171449</xdr:rowOff>
    </xdr:from>
    <xdr:to>
      <xdr:col>16</xdr:col>
      <xdr:colOff>581025</xdr:colOff>
      <xdr:row>32</xdr:row>
      <xdr:rowOff>47625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266700</xdr:colOff>
      <xdr:row>27</xdr:row>
      <xdr:rowOff>180975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25</xdr:row>
      <xdr:rowOff>0</xdr:rowOff>
    </xdr:from>
    <xdr:to>
      <xdr:col>18</xdr:col>
      <xdr:colOff>704095</xdr:colOff>
      <xdr:row>55</xdr:row>
      <xdr:rowOff>113571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97034D-7FB2-321C-AC02-BF84E8890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4762500"/>
          <a:ext cx="6038095" cy="58285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0</xdr:rowOff>
    </xdr:from>
    <xdr:to>
      <xdr:col>14</xdr:col>
      <xdr:colOff>361951</xdr:colOff>
      <xdr:row>35</xdr:row>
      <xdr:rowOff>142875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548640</xdr:colOff>
      <xdr:row>22</xdr:row>
      <xdr:rowOff>83820</xdr:rowOff>
    </xdr:to>
    <xdr:pic>
      <xdr:nvPicPr>
        <xdr:cNvPr id="2" name="图片 1" descr="AMCC-3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035040" cy="38557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338328</xdr:colOff>
      <xdr:row>21</xdr:row>
      <xdr:rowOff>133350</xdr:rowOff>
    </xdr:to>
    <xdr:pic>
      <xdr:nvPicPr>
        <xdr:cNvPr id="2" name="图片 1" descr="AMCC-5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510528" cy="3733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9983;&#20135;&#35774;&#35745;\&#34920;&#21333;&#25991;&#20214;\&#24037;&#33402;&#26041;&#38754;\&#24037;&#31243;&#37096;\&#35268;&#26684;&#20070;&#27169;&#26495;\&#38750;&#26230;&#32435;&#31859;&#26230;&#21442;&#25968;&#34920;\BH&#26354;&#32447;&#24120;&#28201;&#21450;150&#8451;&#23545;&#2903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AppData\Local\Microsoft\Windows\INetCache\Content.Outlook\127STV0X\&#38750;&#26230;&#26448;&#26009;&#25968;&#25454;&#3492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AppData\Local\Microsoft\Windows\INetCache\Content.Outlook\127STV0X\19_&#38750;&#26230;&#20999;&#21106;&#30697;&#24418;&#19981;&#21516;&#39057;&#29575;&#19979;&#25439;&#32791;&#26354;&#32447;(0.1T&#20197;&#1997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0-15-10"/>
    </sheetNames>
    <sheetDataSet>
      <sheetData sheetId="0">
        <row r="5">
          <cell r="A5" t="str">
            <v>常温（25℃）</v>
          </cell>
          <cell r="C5" t="str">
            <v>高温（150℃）</v>
          </cell>
        </row>
        <row r="7">
          <cell r="A7">
            <v>3.9916399999999998E-2</v>
          </cell>
          <cell r="B7">
            <v>0</v>
          </cell>
          <cell r="C7">
            <v>3.9831999999999999E-2</v>
          </cell>
          <cell r="D7">
            <v>0</v>
          </cell>
        </row>
        <row r="8">
          <cell r="A8">
            <v>7.9968800000000007E-2</v>
          </cell>
          <cell r="B8">
            <v>2.37691E-4</v>
          </cell>
          <cell r="C8">
            <v>7.9781299999999999E-2</v>
          </cell>
          <cell r="D8">
            <v>7.4278500000000004E-4</v>
          </cell>
        </row>
        <row r="9">
          <cell r="A9">
            <v>7.9968800000000007E-2</v>
          </cell>
          <cell r="B9">
            <v>2.37691E-4</v>
          </cell>
          <cell r="C9">
            <v>7.9781299999999999E-2</v>
          </cell>
          <cell r="D9">
            <v>7.4278500000000004E-4</v>
          </cell>
        </row>
        <row r="10">
          <cell r="A10">
            <v>7.9968800000000007E-2</v>
          </cell>
          <cell r="B10">
            <v>2.37691E-4</v>
          </cell>
          <cell r="C10">
            <v>7.9781299999999999E-2</v>
          </cell>
          <cell r="D10">
            <v>7.4278500000000004E-4</v>
          </cell>
        </row>
        <row r="11">
          <cell r="A11">
            <v>7.9968800000000007E-2</v>
          </cell>
          <cell r="B11">
            <v>2.37691E-4</v>
          </cell>
          <cell r="C11">
            <v>7.9781299999999999E-2</v>
          </cell>
          <cell r="D11">
            <v>7.4278500000000004E-4</v>
          </cell>
        </row>
        <row r="12">
          <cell r="A12">
            <v>7.9968800000000007E-2</v>
          </cell>
          <cell r="B12">
            <v>2.37691E-4</v>
          </cell>
          <cell r="C12">
            <v>7.9781299999999999E-2</v>
          </cell>
          <cell r="D12">
            <v>7.4278500000000004E-4</v>
          </cell>
        </row>
        <row r="13">
          <cell r="A13">
            <v>7.9968800000000007E-2</v>
          </cell>
          <cell r="B13">
            <v>2.37691E-4</v>
          </cell>
          <cell r="C13">
            <v>7.9781299999999999E-2</v>
          </cell>
          <cell r="D13">
            <v>7.4278500000000004E-4</v>
          </cell>
        </row>
        <row r="14">
          <cell r="A14">
            <v>7.9968800000000007E-2</v>
          </cell>
          <cell r="B14">
            <v>2.37691E-4</v>
          </cell>
          <cell r="C14">
            <v>7.9781299999999999E-2</v>
          </cell>
          <cell r="D14">
            <v>7.4278500000000004E-4</v>
          </cell>
        </row>
        <row r="15">
          <cell r="A15">
            <v>7.9968800000000007E-2</v>
          </cell>
          <cell r="B15">
            <v>2.37691E-4</v>
          </cell>
          <cell r="C15">
            <v>7.9781299999999999E-2</v>
          </cell>
          <cell r="D15">
            <v>7.4278500000000004E-4</v>
          </cell>
        </row>
        <row r="16">
          <cell r="A16">
            <v>7.9968800000000007E-2</v>
          </cell>
          <cell r="B16">
            <v>2.37691E-4</v>
          </cell>
          <cell r="C16">
            <v>0.72021100000000005</v>
          </cell>
          <cell r="D16">
            <v>4.2546700000000003E-3</v>
          </cell>
        </row>
        <row r="17">
          <cell r="A17">
            <v>7.9968800000000007E-2</v>
          </cell>
          <cell r="B17">
            <v>2.37691E-4</v>
          </cell>
          <cell r="C17">
            <v>0.87940799999999997</v>
          </cell>
          <cell r="D17">
            <v>7.1782800000000004E-3</v>
          </cell>
        </row>
        <row r="18">
          <cell r="A18">
            <v>7.9968800000000007E-2</v>
          </cell>
          <cell r="B18">
            <v>2.37691E-4</v>
          </cell>
          <cell r="C18">
            <v>1.0398400000000001</v>
          </cell>
          <cell r="D18">
            <v>8.9847299999999998E-3</v>
          </cell>
        </row>
        <row r="19">
          <cell r="A19">
            <v>7.9968800000000007E-2</v>
          </cell>
          <cell r="B19">
            <v>2.37691E-4</v>
          </cell>
          <cell r="C19">
            <v>1.4395800000000001</v>
          </cell>
          <cell r="D19">
            <v>1.3714799999999999E-2</v>
          </cell>
        </row>
        <row r="20">
          <cell r="A20">
            <v>7.9968800000000007E-2</v>
          </cell>
          <cell r="B20">
            <v>2.37691E-4</v>
          </cell>
          <cell r="C20">
            <v>2.24091</v>
          </cell>
          <cell r="D20">
            <v>2.2747099999999999E-2</v>
          </cell>
        </row>
        <row r="21">
          <cell r="A21">
            <v>7.9968800000000007E-2</v>
          </cell>
          <cell r="B21">
            <v>2.37691E-4</v>
          </cell>
          <cell r="C21">
            <v>3.84517</v>
          </cell>
          <cell r="D21">
            <v>6.5412600000000001E-2</v>
          </cell>
        </row>
        <row r="22">
          <cell r="A22">
            <v>7.9968800000000007E-2</v>
          </cell>
          <cell r="B22">
            <v>2.37691E-4</v>
          </cell>
          <cell r="C22">
            <v>4.6397899999999996</v>
          </cell>
          <cell r="D22">
            <v>0.115993</v>
          </cell>
        </row>
        <row r="23">
          <cell r="A23">
            <v>7.9968800000000007E-2</v>
          </cell>
          <cell r="B23">
            <v>2.37691E-4</v>
          </cell>
          <cell r="C23">
            <v>5.0364000000000004</v>
          </cell>
          <cell r="D23">
            <v>0.13168099999999999</v>
          </cell>
        </row>
        <row r="24">
          <cell r="A24">
            <v>7.9968800000000007E-2</v>
          </cell>
          <cell r="B24">
            <v>2.37691E-4</v>
          </cell>
          <cell r="C24">
            <v>5.84443</v>
          </cell>
          <cell r="D24">
            <v>0.17905299999999999</v>
          </cell>
        </row>
        <row r="25">
          <cell r="A25">
            <v>7.9968800000000007E-2</v>
          </cell>
          <cell r="B25">
            <v>2.37691E-4</v>
          </cell>
          <cell r="C25">
            <v>7.4406499999999998</v>
          </cell>
          <cell r="D25">
            <v>0.28556199999999998</v>
          </cell>
        </row>
        <row r="26">
          <cell r="A26">
            <v>7.9968800000000007E-2</v>
          </cell>
          <cell r="B26">
            <v>2.37691E-4</v>
          </cell>
          <cell r="C26">
            <v>8.24057</v>
          </cell>
          <cell r="D26">
            <v>0.322357</v>
          </cell>
        </row>
        <row r="27">
          <cell r="A27">
            <v>7.9968800000000007E-2</v>
          </cell>
          <cell r="B27">
            <v>2.37691E-4</v>
          </cell>
          <cell r="C27">
            <v>9.8387499999999992</v>
          </cell>
          <cell r="D27">
            <v>0.38874399999999998</v>
          </cell>
        </row>
        <row r="28">
          <cell r="A28">
            <v>7.9968800000000007E-2</v>
          </cell>
          <cell r="B28">
            <v>2.37691E-4</v>
          </cell>
          <cell r="C28">
            <v>13.835599999999999</v>
          </cell>
          <cell r="D28">
            <v>0.48779</v>
          </cell>
        </row>
        <row r="29">
          <cell r="A29">
            <v>2.6395300000000002</v>
          </cell>
          <cell r="B29">
            <v>2.8522999999999998E-4</v>
          </cell>
          <cell r="C29">
            <v>21.8063</v>
          </cell>
          <cell r="D29">
            <v>0.60582800000000003</v>
          </cell>
        </row>
        <row r="30">
          <cell r="A30">
            <v>2.7190799999999999</v>
          </cell>
          <cell r="B30">
            <v>5.9422800000000003E-4</v>
          </cell>
          <cell r="C30">
            <v>25.8367</v>
          </cell>
          <cell r="D30">
            <v>0.64537900000000004</v>
          </cell>
        </row>
        <row r="31">
          <cell r="A31">
            <v>2.7984</v>
          </cell>
          <cell r="B31">
            <v>8.5568899999999997E-4</v>
          </cell>
          <cell r="C31">
            <v>33.806800000000003</v>
          </cell>
          <cell r="D31">
            <v>0.71074400000000004</v>
          </cell>
        </row>
        <row r="32">
          <cell r="A32">
            <v>2.8780600000000001</v>
          </cell>
          <cell r="B32">
            <v>1.2122299999999999E-3</v>
          </cell>
          <cell r="C32">
            <v>49.852800000000002</v>
          </cell>
          <cell r="D32">
            <v>0.80624899999999999</v>
          </cell>
        </row>
        <row r="33">
          <cell r="A33">
            <v>2.9600599999999999</v>
          </cell>
          <cell r="B33">
            <v>1.68761E-3</v>
          </cell>
          <cell r="C33">
            <v>65.901700000000005</v>
          </cell>
          <cell r="D33">
            <v>0.87622500000000003</v>
          </cell>
        </row>
        <row r="34">
          <cell r="A34">
            <v>3.0388199999999999</v>
          </cell>
          <cell r="B34">
            <v>2.02038E-3</v>
          </cell>
          <cell r="C34">
            <v>105.84</v>
          </cell>
          <cell r="D34">
            <v>1.0088600000000001</v>
          </cell>
        </row>
        <row r="35">
          <cell r="A35">
            <v>3.19747</v>
          </cell>
          <cell r="B35">
            <v>2.7096799999999999E-3</v>
          </cell>
          <cell r="C35">
            <v>121.84399999999999</v>
          </cell>
          <cell r="D35">
            <v>1.04965</v>
          </cell>
        </row>
        <row r="36">
          <cell r="A36">
            <v>3.3563900000000002</v>
          </cell>
          <cell r="B36">
            <v>3.5891400000000002E-3</v>
          </cell>
          <cell r="C36">
            <v>161.376</v>
          </cell>
          <cell r="D36">
            <v>1.13493</v>
          </cell>
        </row>
        <row r="37">
          <cell r="A37">
            <v>3.5186700000000002</v>
          </cell>
          <cell r="B37">
            <v>4.3497500000000003E-3</v>
          </cell>
          <cell r="C37">
            <v>241.422</v>
          </cell>
          <cell r="D37">
            <v>1.2644200000000001</v>
          </cell>
        </row>
        <row r="38">
          <cell r="A38">
            <v>3.92449</v>
          </cell>
          <cell r="B38">
            <v>6.3939000000000001E-3</v>
          </cell>
          <cell r="C38">
            <v>281.45</v>
          </cell>
          <cell r="D38">
            <v>1.31158</v>
          </cell>
        </row>
        <row r="39">
          <cell r="A39">
            <v>4.3216599999999996</v>
          </cell>
          <cell r="B39">
            <v>8.4380400000000008E-3</v>
          </cell>
          <cell r="C39">
            <v>361.59899999999999</v>
          </cell>
          <cell r="D39">
            <v>1.38679</v>
          </cell>
        </row>
        <row r="40">
          <cell r="A40">
            <v>5.1185200000000002</v>
          </cell>
          <cell r="B40">
            <v>1.2811599999999999E-2</v>
          </cell>
          <cell r="C40">
            <v>521.572</v>
          </cell>
          <cell r="D40">
            <v>1.48481</v>
          </cell>
        </row>
        <row r="41">
          <cell r="A41">
            <v>5.92347</v>
          </cell>
          <cell r="B41">
            <v>1.8112099999999999E-2</v>
          </cell>
          <cell r="C41">
            <v>681.78800000000001</v>
          </cell>
          <cell r="D41">
            <v>1.5415700000000001</v>
          </cell>
        </row>
        <row r="42">
          <cell r="A42">
            <v>6.72004</v>
          </cell>
          <cell r="B42">
            <v>2.43634E-2</v>
          </cell>
          <cell r="C42">
            <v>840.87</v>
          </cell>
          <cell r="D42">
            <v>1.57599</v>
          </cell>
        </row>
        <row r="43">
          <cell r="A43">
            <v>7.5199699999999998</v>
          </cell>
          <cell r="B43">
            <v>3.49644E-2</v>
          </cell>
          <cell r="C43">
            <v>1241.5899999999999</v>
          </cell>
          <cell r="D43">
            <v>1.61944</v>
          </cell>
        </row>
        <row r="44">
          <cell r="A44">
            <v>8.3159899999999993</v>
          </cell>
          <cell r="B44">
            <v>5.1103599999999999E-2</v>
          </cell>
          <cell r="C44">
            <v>1640.9</v>
          </cell>
          <cell r="D44">
            <v>1.6356999999999999</v>
          </cell>
        </row>
        <row r="45">
          <cell r="A45">
            <v>9.1164699999999996</v>
          </cell>
          <cell r="B45">
            <v>7.4278499999999997E-2</v>
          </cell>
          <cell r="C45">
            <v>1652.12</v>
          </cell>
          <cell r="D45">
            <v>1.6362699999999999</v>
          </cell>
        </row>
        <row r="46">
          <cell r="A46">
            <v>9.9208599999999993</v>
          </cell>
          <cell r="B46">
            <v>9.8665600000000006E-2</v>
          </cell>
          <cell r="C46">
            <v>1572.27</v>
          </cell>
          <cell r="D46">
            <v>1.6368400000000001</v>
          </cell>
        </row>
        <row r="47">
          <cell r="A47">
            <v>10.7163</v>
          </cell>
          <cell r="B47">
            <v>0.121698</v>
          </cell>
        </row>
        <row r="48">
          <cell r="A48">
            <v>12.3156</v>
          </cell>
          <cell r="B48">
            <v>0.155783</v>
          </cell>
        </row>
        <row r="49">
          <cell r="A49">
            <v>16.349900000000002</v>
          </cell>
          <cell r="B49">
            <v>0.22956199999999999</v>
          </cell>
        </row>
        <row r="50">
          <cell r="A50">
            <v>20.288599999999999</v>
          </cell>
          <cell r="B50">
            <v>0.28698800000000002</v>
          </cell>
        </row>
        <row r="51">
          <cell r="A51">
            <v>28.337900000000001</v>
          </cell>
          <cell r="B51">
            <v>0.36968099999999998</v>
          </cell>
        </row>
        <row r="52">
          <cell r="A52">
            <v>36.339199999999998</v>
          </cell>
          <cell r="B52">
            <v>0.43036400000000002</v>
          </cell>
        </row>
        <row r="53">
          <cell r="A53">
            <v>52.3626</v>
          </cell>
          <cell r="B53">
            <v>0.51474399999999998</v>
          </cell>
        </row>
        <row r="54">
          <cell r="A54">
            <v>68.315200000000004</v>
          </cell>
          <cell r="B54">
            <v>0.57877800000000001</v>
          </cell>
        </row>
        <row r="55">
          <cell r="A55">
            <v>84.307500000000005</v>
          </cell>
          <cell r="B55">
            <v>0.629216</v>
          </cell>
        </row>
        <row r="56">
          <cell r="A56">
            <v>124.30500000000001</v>
          </cell>
          <cell r="B56">
            <v>0.72500600000000004</v>
          </cell>
        </row>
        <row r="57">
          <cell r="A57">
            <v>163.869</v>
          </cell>
          <cell r="B57">
            <v>0.79721600000000004</v>
          </cell>
        </row>
        <row r="58">
          <cell r="A58">
            <v>203.90199999999999</v>
          </cell>
          <cell r="B58">
            <v>0.85920600000000003</v>
          </cell>
        </row>
        <row r="59">
          <cell r="A59">
            <v>284.04000000000002</v>
          </cell>
          <cell r="B59">
            <v>0.95761099999999999</v>
          </cell>
        </row>
        <row r="60">
          <cell r="A60">
            <v>364.18799999999999</v>
          </cell>
          <cell r="B60">
            <v>1.0380499999999999</v>
          </cell>
        </row>
        <row r="61">
          <cell r="A61">
            <v>444.09399999999999</v>
          </cell>
          <cell r="B61">
            <v>1.1045</v>
          </cell>
        </row>
        <row r="62">
          <cell r="A62">
            <v>524.21500000000003</v>
          </cell>
          <cell r="B62">
            <v>1.1626000000000001</v>
          </cell>
        </row>
        <row r="63">
          <cell r="A63">
            <v>684.32299999999998</v>
          </cell>
          <cell r="B63">
            <v>1.2585299999999999</v>
          </cell>
        </row>
        <row r="64">
          <cell r="A64">
            <v>843.24400000000003</v>
          </cell>
          <cell r="B64">
            <v>1.3357300000000001</v>
          </cell>
        </row>
        <row r="65">
          <cell r="A65">
            <v>1003.49</v>
          </cell>
          <cell r="B65">
            <v>1.39924</v>
          </cell>
        </row>
        <row r="66">
          <cell r="A66">
            <v>1163.57</v>
          </cell>
          <cell r="B66">
            <v>1.45201</v>
          </cell>
        </row>
        <row r="67">
          <cell r="A67">
            <v>1563.04</v>
          </cell>
          <cell r="B67">
            <v>1.5504100000000001</v>
          </cell>
        </row>
        <row r="68">
          <cell r="A68">
            <v>1652.39</v>
          </cell>
          <cell r="B68">
            <v>1.5675300000000001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材料表"/>
      <sheetName val="损耗表"/>
      <sheetName val="饱和磁密-温度"/>
      <sheetName val="磁导率-温度"/>
      <sheetName val="Sheet1"/>
      <sheetName val="Sheet2"/>
      <sheetName val="非晶纳米晶参数对照表"/>
      <sheetName val="不同磁导率抗偏置能力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D4" t="str">
            <v>μ31.3</v>
          </cell>
          <cell r="E4" t="str">
            <v>μ31.3</v>
          </cell>
          <cell r="G4" t="str">
            <v>μ41.3</v>
          </cell>
          <cell r="I4" t="str">
            <v>μ60.2</v>
          </cell>
          <cell r="K4" t="str">
            <v>μ74.0</v>
          </cell>
          <cell r="M4" t="str">
            <v xml:space="preserve">μ96.5
</v>
          </cell>
        </row>
        <row r="5">
          <cell r="C5">
            <v>0</v>
          </cell>
        </row>
        <row r="6">
          <cell r="C6">
            <v>2222.2222222222222</v>
          </cell>
          <cell r="E6">
            <v>1.0396039603960396</v>
          </cell>
          <cell r="G6">
            <v>1.0974999999999999</v>
          </cell>
          <cell r="I6">
            <v>1.0239316239316238</v>
          </cell>
          <cell r="K6">
            <v>1.020949720670391</v>
          </cell>
          <cell r="M6">
            <v>1.0235546038543897</v>
          </cell>
        </row>
        <row r="7">
          <cell r="C7">
            <v>2777.7777777777778</v>
          </cell>
          <cell r="E7">
            <v>1.0363036303630362</v>
          </cell>
          <cell r="G7">
            <v>1.095</v>
          </cell>
          <cell r="I7">
            <v>1.0239316239316238</v>
          </cell>
          <cell r="K7">
            <v>1.0181564245810057</v>
          </cell>
          <cell r="M7">
            <v>1.019271948608137</v>
          </cell>
        </row>
        <row r="8">
          <cell r="C8">
            <v>3333.3333333333335</v>
          </cell>
          <cell r="E8">
            <v>1.033003300330033</v>
          </cell>
          <cell r="G8">
            <v>1.0900000000000001</v>
          </cell>
          <cell r="I8">
            <v>1.017094017094017</v>
          </cell>
          <cell r="K8">
            <v>1.0083798882681565</v>
          </cell>
          <cell r="M8">
            <v>1.0032119914346895</v>
          </cell>
        </row>
        <row r="9">
          <cell r="C9">
            <v>3888.8888888888891</v>
          </cell>
          <cell r="E9">
            <v>1.033003300330033</v>
          </cell>
          <cell r="G9">
            <v>1.0825</v>
          </cell>
          <cell r="I9">
            <v>1.0119658119658119</v>
          </cell>
          <cell r="K9">
            <v>1.0027932960893855</v>
          </cell>
          <cell r="M9">
            <v>0.99357601713062094</v>
          </cell>
        </row>
        <row r="10">
          <cell r="C10">
            <v>4444.4444444444443</v>
          </cell>
          <cell r="E10">
            <v>1.0297029702970297</v>
          </cell>
          <cell r="G10">
            <v>1.0825</v>
          </cell>
          <cell r="I10">
            <v>1.0068376068376068</v>
          </cell>
          <cell r="K10">
            <v>0.99720670391061472</v>
          </cell>
          <cell r="M10">
            <v>0.97965738758029974</v>
          </cell>
        </row>
        <row r="11">
          <cell r="C11">
            <v>5000</v>
          </cell>
          <cell r="E11">
            <v>1.0297029702970297</v>
          </cell>
          <cell r="G11">
            <v>1.085</v>
          </cell>
          <cell r="I11">
            <v>1.0085470085470085</v>
          </cell>
          <cell r="K11">
            <v>0.99860335195530736</v>
          </cell>
          <cell r="M11">
            <v>0.98072805139186281</v>
          </cell>
        </row>
        <row r="12">
          <cell r="C12">
            <v>5555.5555555555557</v>
          </cell>
          <cell r="E12">
            <v>1.0297029702970297</v>
          </cell>
          <cell r="G12">
            <v>1.0825</v>
          </cell>
          <cell r="I12">
            <v>1.0017094017094017</v>
          </cell>
          <cell r="K12">
            <v>0.98324022346368734</v>
          </cell>
          <cell r="M12">
            <v>0.95931477516059949</v>
          </cell>
        </row>
        <row r="13">
          <cell r="C13">
            <v>6111.1111111111113</v>
          </cell>
          <cell r="E13">
            <v>1.0264026402640265</v>
          </cell>
          <cell r="G13">
            <v>1.075</v>
          </cell>
          <cell r="I13">
            <v>1</v>
          </cell>
          <cell r="K13">
            <v>0.98044692737430184</v>
          </cell>
          <cell r="M13">
            <v>0.94646680942184158</v>
          </cell>
        </row>
        <row r="14">
          <cell r="C14">
            <v>6666.666666666667</v>
          </cell>
          <cell r="E14">
            <v>1.0264026402640265</v>
          </cell>
          <cell r="G14">
            <v>1.0699999999999998</v>
          </cell>
          <cell r="I14">
            <v>0.99316239316239319</v>
          </cell>
          <cell r="K14">
            <v>0.97346368715083809</v>
          </cell>
          <cell r="M14">
            <v>0.93790149892933605</v>
          </cell>
        </row>
        <row r="15">
          <cell r="C15">
            <v>7222.2222222222226</v>
          </cell>
          <cell r="E15">
            <v>1.023102310231023</v>
          </cell>
          <cell r="G15">
            <v>1.0675000000000001</v>
          </cell>
          <cell r="I15">
            <v>0.98803418803418797</v>
          </cell>
          <cell r="K15">
            <v>0.9622905027932962</v>
          </cell>
          <cell r="M15">
            <v>0.91755888650963591</v>
          </cell>
        </row>
        <row r="16">
          <cell r="C16">
            <v>7777.7777777777783</v>
          </cell>
          <cell r="E16">
            <v>1.0198019801980198</v>
          </cell>
          <cell r="G16">
            <v>1.0649999999999999</v>
          </cell>
          <cell r="I16">
            <v>0.98119658119658115</v>
          </cell>
          <cell r="K16">
            <v>0.9567039106145252</v>
          </cell>
          <cell r="M16">
            <v>0.90042826552462518</v>
          </cell>
        </row>
        <row r="17">
          <cell r="C17">
            <v>8333.3333333333339</v>
          </cell>
          <cell r="E17">
            <v>1.0198019801980198</v>
          </cell>
          <cell r="G17">
            <v>1.0625</v>
          </cell>
          <cell r="I17">
            <v>0.97435897435897434</v>
          </cell>
          <cell r="K17">
            <v>0.94413407821229045</v>
          </cell>
          <cell r="M17">
            <v>0.87473233404710915</v>
          </cell>
        </row>
        <row r="18">
          <cell r="C18">
            <v>8888.8888888888887</v>
          </cell>
          <cell r="E18">
            <v>1.0165016501650166</v>
          </cell>
          <cell r="G18">
            <v>1.0574999999999999</v>
          </cell>
          <cell r="I18">
            <v>0.96752136752136753</v>
          </cell>
          <cell r="K18">
            <v>0.93435754189944153</v>
          </cell>
          <cell r="M18">
            <v>0.8586723768736616</v>
          </cell>
        </row>
        <row r="19">
          <cell r="C19">
            <v>9444.4444444444453</v>
          </cell>
          <cell r="E19">
            <v>1.0165016501650166</v>
          </cell>
          <cell r="G19">
            <v>1.0550000000000002</v>
          </cell>
          <cell r="I19">
            <v>0.96068376068376071</v>
          </cell>
          <cell r="K19">
            <v>0.91759776536312865</v>
          </cell>
          <cell r="M19">
            <v>0.82334047109207709</v>
          </cell>
        </row>
        <row r="20">
          <cell r="C20">
            <v>10000</v>
          </cell>
          <cell r="E20">
            <v>1.0165016501650166</v>
          </cell>
          <cell r="G20">
            <v>1.0550000000000002</v>
          </cell>
          <cell r="I20">
            <v>0.95897435897435901</v>
          </cell>
          <cell r="K20">
            <v>0.91480446927374304</v>
          </cell>
          <cell r="M20">
            <v>0.80085653104925048</v>
          </cell>
        </row>
        <row r="21">
          <cell r="C21">
            <v>10555.555555555557</v>
          </cell>
          <cell r="E21">
            <v>1.0132013201320131</v>
          </cell>
          <cell r="G21">
            <v>1.05</v>
          </cell>
          <cell r="I21">
            <v>0.9521367521367522</v>
          </cell>
          <cell r="K21">
            <v>0.90083798882681576</v>
          </cell>
          <cell r="M21">
            <v>0.75481798715203419</v>
          </cell>
        </row>
        <row r="22">
          <cell r="C22">
            <v>11111.111111111111</v>
          </cell>
          <cell r="E22">
            <v>1.0099009900990099</v>
          </cell>
          <cell r="G22">
            <v>1.0449999999999999</v>
          </cell>
          <cell r="I22">
            <v>0.94188034188034186</v>
          </cell>
          <cell r="K22">
            <v>0.88128491620111737</v>
          </cell>
          <cell r="M22">
            <v>0.69700214132762306</v>
          </cell>
        </row>
        <row r="23">
          <cell r="C23">
            <v>11666.666666666668</v>
          </cell>
          <cell r="E23">
            <v>1.0099009900990099</v>
          </cell>
          <cell r="G23">
            <v>1.04</v>
          </cell>
          <cell r="I23">
            <v>0.93333333333333335</v>
          </cell>
          <cell r="K23">
            <v>0.86592178770949724</v>
          </cell>
          <cell r="M23">
            <v>0.62955032119914345</v>
          </cell>
        </row>
        <row r="24">
          <cell r="C24">
            <v>12222.222222222223</v>
          </cell>
          <cell r="E24">
            <v>1.0099009900990099</v>
          </cell>
          <cell r="G24">
            <v>1.0375000000000001</v>
          </cell>
          <cell r="I24">
            <v>0.91794871794871802</v>
          </cell>
          <cell r="K24">
            <v>0.84357541899441346</v>
          </cell>
          <cell r="M24">
            <v>0.52997858672376874</v>
          </cell>
        </row>
        <row r="25">
          <cell r="C25">
            <v>12777.777777777777</v>
          </cell>
          <cell r="E25">
            <v>1.0066006600660067</v>
          </cell>
          <cell r="G25">
            <v>1.0349999999999999</v>
          </cell>
          <cell r="I25">
            <v>0.9128205128205128</v>
          </cell>
          <cell r="K25">
            <v>0.82541899441340794</v>
          </cell>
          <cell r="M25">
            <v>0.40792291220556742</v>
          </cell>
        </row>
        <row r="26">
          <cell r="C26">
            <v>13333.333333333334</v>
          </cell>
          <cell r="E26">
            <v>1</v>
          </cell>
          <cell r="G26">
            <v>1.0275000000000001</v>
          </cell>
          <cell r="I26">
            <v>0.89914529914529917</v>
          </cell>
          <cell r="K26">
            <v>0.79748603351955316</v>
          </cell>
          <cell r="M26">
            <v>0.30406852248394001</v>
          </cell>
        </row>
        <row r="27">
          <cell r="C27">
            <v>13888.888888888889</v>
          </cell>
          <cell r="E27">
            <v>1</v>
          </cell>
          <cell r="G27">
            <v>1.02</v>
          </cell>
          <cell r="I27">
            <v>0.88376068376068384</v>
          </cell>
          <cell r="K27">
            <v>0.76815642458100564</v>
          </cell>
          <cell r="M27">
            <v>0.23554603854389719</v>
          </cell>
        </row>
        <row r="28">
          <cell r="C28">
            <v>14444.444444444445</v>
          </cell>
          <cell r="E28">
            <v>0.99669966996699666</v>
          </cell>
          <cell r="G28">
            <v>1.0125</v>
          </cell>
          <cell r="I28">
            <v>0.87179487179487181</v>
          </cell>
          <cell r="K28">
            <v>0.73184357541899447</v>
          </cell>
          <cell r="M28">
            <v>0.19164882226980726</v>
          </cell>
        </row>
        <row r="29">
          <cell r="C29">
            <v>15000</v>
          </cell>
          <cell r="E29">
            <v>0.99339933993399343</v>
          </cell>
          <cell r="G29">
            <v>1.0024999999999999</v>
          </cell>
          <cell r="I29">
            <v>0.85299145299145296</v>
          </cell>
          <cell r="K29">
            <v>0.68156424581005592</v>
          </cell>
          <cell r="M29">
            <v>0.15952890792291219</v>
          </cell>
        </row>
        <row r="30">
          <cell r="C30">
            <v>15555.555555555557</v>
          </cell>
          <cell r="E30">
            <v>0.99009900990099009</v>
          </cell>
          <cell r="G30">
            <v>0.99749999999999994</v>
          </cell>
          <cell r="I30">
            <v>0.83076923076923082</v>
          </cell>
          <cell r="K30">
            <v>0.62150837988826824</v>
          </cell>
          <cell r="M30">
            <v>0.13704496788008566</v>
          </cell>
        </row>
        <row r="31">
          <cell r="C31">
            <v>16111.111111111111</v>
          </cell>
          <cell r="E31">
            <v>0.99009900990099009</v>
          </cell>
          <cell r="G31">
            <v>0.99250000000000005</v>
          </cell>
          <cell r="I31">
            <v>0.81196581196581197</v>
          </cell>
          <cell r="K31">
            <v>0.55027932960893855</v>
          </cell>
          <cell r="M31">
            <v>0.11991434689507494</v>
          </cell>
        </row>
        <row r="32">
          <cell r="C32">
            <v>16666.666666666668</v>
          </cell>
          <cell r="E32">
            <v>0.99009900990099009</v>
          </cell>
          <cell r="G32">
            <v>0.98499999999999999</v>
          </cell>
          <cell r="I32">
            <v>0.78632478632478631</v>
          </cell>
          <cell r="K32">
            <v>0.4511173184357542</v>
          </cell>
          <cell r="M32">
            <v>0.106423982869379</v>
          </cell>
        </row>
        <row r="33">
          <cell r="C33">
            <v>17222.222222222223</v>
          </cell>
          <cell r="E33">
            <v>0.98679867986798675</v>
          </cell>
          <cell r="G33">
            <v>0.97750000000000004</v>
          </cell>
          <cell r="I33">
            <v>0.75384615384615383</v>
          </cell>
          <cell r="K33">
            <v>0.3477653631284916</v>
          </cell>
          <cell r="M33">
            <v>9.5610278372590993E-2</v>
          </cell>
        </row>
        <row r="34">
          <cell r="C34">
            <v>17777.777777777777</v>
          </cell>
          <cell r="E34">
            <v>0.98349834983498352</v>
          </cell>
          <cell r="G34">
            <v>0.97</v>
          </cell>
          <cell r="I34">
            <v>0.71623931623931625</v>
          </cell>
          <cell r="K34">
            <v>0.26955307262569833</v>
          </cell>
          <cell r="M34">
            <v>8.6937901498929326E-2</v>
          </cell>
        </row>
        <row r="35">
          <cell r="C35">
            <v>18333.333333333336</v>
          </cell>
          <cell r="E35">
            <v>0.98019801980198018</v>
          </cell>
          <cell r="G35">
            <v>0.96</v>
          </cell>
          <cell r="I35">
            <v>0.66837606837606844</v>
          </cell>
          <cell r="K35">
            <v>0.21648044692737431</v>
          </cell>
          <cell r="M35">
            <v>7.9871520342612412E-2</v>
          </cell>
        </row>
        <row r="36">
          <cell r="C36">
            <v>18888.888888888891</v>
          </cell>
          <cell r="E36">
            <v>0.97359735973597361</v>
          </cell>
          <cell r="G36">
            <v>0.95</v>
          </cell>
          <cell r="I36">
            <v>0.6</v>
          </cell>
          <cell r="K36">
            <v>0.18156424581005587</v>
          </cell>
          <cell r="M36">
            <v>7.3982869379014993E-2</v>
          </cell>
        </row>
        <row r="37">
          <cell r="C37">
            <v>19444.444444444445</v>
          </cell>
          <cell r="E37">
            <v>0.97029702970297027</v>
          </cell>
          <cell r="G37">
            <v>0.94000000000000006</v>
          </cell>
          <cell r="I37">
            <v>0.50598290598290596</v>
          </cell>
          <cell r="K37">
            <v>0.15782122905027934</v>
          </cell>
          <cell r="M37">
            <v>6.9057815845824405E-2</v>
          </cell>
        </row>
        <row r="38">
          <cell r="C38">
            <v>20000</v>
          </cell>
          <cell r="E38">
            <v>0.97029702970297027</v>
          </cell>
          <cell r="G38">
            <v>0.93</v>
          </cell>
          <cell r="I38">
            <v>0.42393162393162392</v>
          </cell>
          <cell r="K38">
            <v>0.13952513966480448</v>
          </cell>
          <cell r="M38">
            <v>6.4775160599571724E-2</v>
          </cell>
        </row>
        <row r="39">
          <cell r="C39">
            <v>20555.555555555555</v>
          </cell>
          <cell r="E39">
            <v>0.9636963696369637</v>
          </cell>
          <cell r="G39">
            <v>0.91750000000000009</v>
          </cell>
          <cell r="I39">
            <v>0.36239316239316238</v>
          </cell>
          <cell r="K39">
            <v>0.12583798882681566</v>
          </cell>
          <cell r="M39">
            <v>6.1241970021413267E-2</v>
          </cell>
        </row>
        <row r="40">
          <cell r="C40">
            <v>21111.111111111113</v>
          </cell>
          <cell r="E40">
            <v>0.95709570957095702</v>
          </cell>
          <cell r="G40">
            <v>0.9</v>
          </cell>
          <cell r="I40">
            <v>0.32136752136752139</v>
          </cell>
          <cell r="K40">
            <v>0.11508379888268158</v>
          </cell>
          <cell r="M40">
            <v>5.813704496788008E-2</v>
          </cell>
        </row>
        <row r="41">
          <cell r="C41">
            <v>21666.666666666668</v>
          </cell>
          <cell r="E41">
            <v>0.95379537953795368</v>
          </cell>
          <cell r="G41">
            <v>0.88249999999999995</v>
          </cell>
          <cell r="I41">
            <v>0.29401709401709403</v>
          </cell>
          <cell r="K41">
            <v>0.10656424581005587</v>
          </cell>
          <cell r="M41">
            <v>5.5460385438972158E-2</v>
          </cell>
        </row>
        <row r="42">
          <cell r="C42">
            <v>22222.222222222223</v>
          </cell>
          <cell r="E42">
            <v>0.94719471947194711</v>
          </cell>
          <cell r="G42">
            <v>0.86499999999999999</v>
          </cell>
          <cell r="I42">
            <v>0.27179487179487183</v>
          </cell>
          <cell r="K42">
            <v>9.9581005586592192E-2</v>
          </cell>
          <cell r="M42">
            <v>5.2997858672376871E-2</v>
          </cell>
        </row>
        <row r="43">
          <cell r="C43">
            <v>22777.777777777777</v>
          </cell>
          <cell r="E43">
            <v>0.94059405940594054</v>
          </cell>
          <cell r="G43">
            <v>0.84250000000000003</v>
          </cell>
          <cell r="I43">
            <v>0.25128205128205128</v>
          </cell>
          <cell r="K43">
            <v>9.3854748603351953E-2</v>
          </cell>
          <cell r="M43">
            <v>5.0856531049250531E-2</v>
          </cell>
        </row>
        <row r="44">
          <cell r="C44">
            <v>23333.333333333336</v>
          </cell>
          <cell r="E44">
            <v>0.93399339933993397</v>
          </cell>
          <cell r="G44">
            <v>0.82</v>
          </cell>
          <cell r="I44">
            <v>0.23076923076923078</v>
          </cell>
          <cell r="K44">
            <v>8.8826815642458118E-2</v>
          </cell>
          <cell r="M44">
            <v>4.8929336188436832E-2</v>
          </cell>
        </row>
        <row r="45">
          <cell r="C45">
            <v>23888.888888888891</v>
          </cell>
          <cell r="E45">
            <v>0.9273927392739274</v>
          </cell>
          <cell r="G45">
            <v>0.79249999999999998</v>
          </cell>
          <cell r="I45">
            <v>0.21025641025641026</v>
          </cell>
          <cell r="K45">
            <v>8.4636871508379896E-2</v>
          </cell>
          <cell r="M45">
            <v>4.7323340471092074E-2</v>
          </cell>
        </row>
        <row r="46">
          <cell r="C46">
            <v>24444.444444444445</v>
          </cell>
          <cell r="E46">
            <v>0.91749174917491749</v>
          </cell>
          <cell r="G46">
            <v>0.75750000000000006</v>
          </cell>
          <cell r="I46">
            <v>0.19145299145299144</v>
          </cell>
          <cell r="K46">
            <v>8.0865921787709502E-2</v>
          </cell>
          <cell r="M46">
            <v>4.5824411134903639E-2</v>
          </cell>
        </row>
        <row r="47">
          <cell r="C47">
            <v>25000</v>
          </cell>
          <cell r="E47">
            <v>0.90759075907590758</v>
          </cell>
          <cell r="G47">
            <v>0.71</v>
          </cell>
          <cell r="I47">
            <v>0.17264957264957265</v>
          </cell>
          <cell r="K47">
            <v>7.7513966480446936E-2</v>
          </cell>
          <cell r="M47">
            <v>4.4539614561027834E-2</v>
          </cell>
        </row>
        <row r="48">
          <cell r="C48">
            <v>25555.555555555555</v>
          </cell>
          <cell r="E48">
            <v>0.89768976897689767</v>
          </cell>
          <cell r="G48">
            <v>0.64249999999999996</v>
          </cell>
          <cell r="I48">
            <v>0.15811965811965811</v>
          </cell>
          <cell r="K48">
            <v>7.4441340782122917E-2</v>
          </cell>
          <cell r="M48">
            <v>4.3361884368308345E-2</v>
          </cell>
        </row>
        <row r="49">
          <cell r="C49">
            <v>26111.111111111113</v>
          </cell>
          <cell r="E49">
            <v>0.8910891089108911</v>
          </cell>
          <cell r="G49">
            <v>0.56500000000000006</v>
          </cell>
          <cell r="I49">
            <v>0.14495726495726496</v>
          </cell>
          <cell r="K49">
            <v>7.1648044692737431E-2</v>
          </cell>
          <cell r="M49">
            <v>4.2398286937901493E-2</v>
          </cell>
        </row>
        <row r="50">
          <cell r="C50">
            <v>26666.666666666668</v>
          </cell>
          <cell r="E50">
            <v>0.88118811881188119</v>
          </cell>
          <cell r="G50">
            <v>0.49749999999999994</v>
          </cell>
          <cell r="I50">
            <v>0.13367521367521368</v>
          </cell>
          <cell r="K50">
            <v>6.9134078212290506E-2</v>
          </cell>
          <cell r="M50">
            <v>4.1541755888650958E-2</v>
          </cell>
        </row>
        <row r="51">
          <cell r="C51">
            <v>27222.222222222223</v>
          </cell>
          <cell r="E51">
            <v>0.87458745874587451</v>
          </cell>
          <cell r="G51">
            <v>0.44749999999999995</v>
          </cell>
          <cell r="I51">
            <v>0.12393162393162394</v>
          </cell>
          <cell r="K51">
            <v>6.6759776536312862E-2</v>
          </cell>
          <cell r="M51">
            <v>4.0792291220556741E-2</v>
          </cell>
        </row>
        <row r="52">
          <cell r="C52">
            <v>27777.777777777777</v>
          </cell>
          <cell r="E52">
            <v>0.8646864686468646</v>
          </cell>
          <cell r="G52">
            <v>0.41249999999999998</v>
          </cell>
          <cell r="I52">
            <v>0.11606837606837607</v>
          </cell>
          <cell r="K52">
            <v>6.4664804469273751E-2</v>
          </cell>
          <cell r="M52">
            <v>4.0042826552462524E-2</v>
          </cell>
        </row>
        <row r="53">
          <cell r="C53">
            <v>28333.333333333336</v>
          </cell>
          <cell r="E53">
            <v>0.85148514851485146</v>
          </cell>
          <cell r="G53">
            <v>0.39</v>
          </cell>
          <cell r="I53">
            <v>0.10957264957264957</v>
          </cell>
          <cell r="K53">
            <v>6.2569832402234654E-2</v>
          </cell>
          <cell r="M53">
            <v>3.9507494646680942E-2</v>
          </cell>
        </row>
        <row r="54">
          <cell r="C54">
            <v>28888.888888888891</v>
          </cell>
          <cell r="E54">
            <v>0.83498349834983498</v>
          </cell>
          <cell r="G54">
            <v>0.37</v>
          </cell>
          <cell r="I54">
            <v>0.10393162393162393</v>
          </cell>
          <cell r="K54">
            <v>6.0893854748603364E-2</v>
          </cell>
          <cell r="M54">
            <v>3.8972162740899353E-2</v>
          </cell>
        </row>
        <row r="55">
          <cell r="C55">
            <v>29444.444444444445</v>
          </cell>
          <cell r="E55">
            <v>0.81848184818481851</v>
          </cell>
          <cell r="G55">
            <v>0.35499999999999998</v>
          </cell>
          <cell r="I55">
            <v>9.914529914529914E-2</v>
          </cell>
          <cell r="K55">
            <v>5.9217877094972074E-2</v>
          </cell>
          <cell r="M55">
            <v>3.8436830835117772E-2</v>
          </cell>
        </row>
        <row r="56">
          <cell r="C56">
            <v>30000</v>
          </cell>
          <cell r="E56">
            <v>0.79867986798679869</v>
          </cell>
          <cell r="G56">
            <v>0.34249999999999997</v>
          </cell>
          <cell r="I56">
            <v>9.5042735042735041E-2</v>
          </cell>
          <cell r="K56">
            <v>5.7821229050279331E-2</v>
          </cell>
          <cell r="M56">
            <v>3.8008565310492501E-2</v>
          </cell>
        </row>
        <row r="57">
          <cell r="C57">
            <v>30555.555555555558</v>
          </cell>
          <cell r="E57">
            <v>0.77227722772277219</v>
          </cell>
          <cell r="G57">
            <v>0.32500000000000001</v>
          </cell>
          <cell r="I57">
            <v>9.1452991452991447E-2</v>
          </cell>
          <cell r="K57">
            <v>5.6564245810055869E-2</v>
          </cell>
          <cell r="M57">
            <v>3.758029978586723E-2</v>
          </cell>
        </row>
        <row r="58">
          <cell r="C58">
            <v>31111.111111111113</v>
          </cell>
          <cell r="E58">
            <v>0.72937293729372943</v>
          </cell>
          <cell r="G58">
            <v>0.31</v>
          </cell>
          <cell r="I58">
            <v>8.8205128205128214E-2</v>
          </cell>
          <cell r="K58">
            <v>5.544692737430168E-2</v>
          </cell>
          <cell r="M58">
            <v>3.7259100642398284E-2</v>
          </cell>
        </row>
        <row r="59">
          <cell r="C59">
            <v>31666.666666666668</v>
          </cell>
          <cell r="E59">
            <v>0.66996699669966997</v>
          </cell>
          <cell r="G59">
            <v>0.28999999999999998</v>
          </cell>
          <cell r="I59">
            <v>8.5299145299145299E-2</v>
          </cell>
          <cell r="K59">
            <v>5.4329608938547491E-2</v>
          </cell>
        </row>
        <row r="60">
          <cell r="C60">
            <v>32222.222222222223</v>
          </cell>
          <cell r="E60">
            <v>0.61056105610561051</v>
          </cell>
          <cell r="G60">
            <v>0.27250000000000002</v>
          </cell>
          <cell r="I60">
            <v>8.2564102564102571E-2</v>
          </cell>
        </row>
        <row r="61">
          <cell r="C61">
            <v>32777.777777777781</v>
          </cell>
          <cell r="E61">
            <v>0.55775577557755773</v>
          </cell>
          <cell r="G61">
            <v>0.255</v>
          </cell>
        </row>
        <row r="62">
          <cell r="C62">
            <v>33333.333333333336</v>
          </cell>
          <cell r="E62">
            <v>0.52145214521452143</v>
          </cell>
          <cell r="G62">
            <v>0.23650000000000002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非晶切割损耗曲线"/>
    </sheetNames>
    <sheetDataSet>
      <sheetData sheetId="0">
        <row r="2">
          <cell r="A2" t="str">
            <v>50k</v>
          </cell>
          <cell r="B2">
            <v>0.49909999999999999</v>
          </cell>
          <cell r="C2">
            <v>735.6</v>
          </cell>
        </row>
        <row r="3">
          <cell r="B3">
            <v>0.39989999999999998</v>
          </cell>
          <cell r="C3">
            <v>411.8</v>
          </cell>
        </row>
        <row r="4">
          <cell r="B4">
            <v>0.30009999999999998</v>
          </cell>
          <cell r="C4">
            <v>236.5</v>
          </cell>
        </row>
        <row r="5">
          <cell r="B5">
            <v>0.20030000000000001</v>
          </cell>
          <cell r="C5">
            <v>104.4</v>
          </cell>
        </row>
        <row r="6">
          <cell r="B6">
            <v>0.1002</v>
          </cell>
          <cell r="C6">
            <v>23.91</v>
          </cell>
        </row>
        <row r="7">
          <cell r="A7" t="str">
            <v>40k</v>
          </cell>
          <cell r="B7">
            <v>0.49940000000000001</v>
          </cell>
          <cell r="C7">
            <v>513.9</v>
          </cell>
        </row>
        <row r="8">
          <cell r="B8">
            <v>0.39900000000000002</v>
          </cell>
          <cell r="C8">
            <v>306.5</v>
          </cell>
        </row>
        <row r="9">
          <cell r="B9">
            <v>0.29949999999999999</v>
          </cell>
          <cell r="C9">
            <v>171.6</v>
          </cell>
        </row>
        <row r="10">
          <cell r="B10">
            <v>0.19969999999999999</v>
          </cell>
          <cell r="C10">
            <v>74.989999999999995</v>
          </cell>
        </row>
        <row r="11">
          <cell r="B11">
            <v>0.10009999999999999</v>
          </cell>
          <cell r="C11">
            <v>18.809999999999999</v>
          </cell>
        </row>
        <row r="12">
          <cell r="A12" t="str">
            <v>30k</v>
          </cell>
          <cell r="B12">
            <v>0.5988</v>
          </cell>
          <cell r="C12">
            <v>384.7</v>
          </cell>
        </row>
        <row r="13">
          <cell r="B13">
            <v>0.49990000000000001</v>
          </cell>
          <cell r="C13">
            <v>280.10000000000002</v>
          </cell>
        </row>
        <row r="14">
          <cell r="B14">
            <v>0.39979999999999999</v>
          </cell>
          <cell r="C14">
            <v>189.2</v>
          </cell>
        </row>
        <row r="15">
          <cell r="B15">
            <v>0.29959999999999998</v>
          </cell>
          <cell r="C15">
            <v>110.6</v>
          </cell>
        </row>
        <row r="16">
          <cell r="B16">
            <v>0.19950000000000001</v>
          </cell>
          <cell r="C16">
            <v>49.77</v>
          </cell>
        </row>
        <row r="17">
          <cell r="B17">
            <v>9.9839999999999998E-2</v>
          </cell>
          <cell r="C17">
            <v>12.64</v>
          </cell>
        </row>
        <row r="18">
          <cell r="A18" t="str">
            <v>25k</v>
          </cell>
          <cell r="B18">
            <v>0.70050000000000001</v>
          </cell>
          <cell r="C18">
            <v>390.6</v>
          </cell>
        </row>
        <row r="19">
          <cell r="B19">
            <v>0.60040000000000004</v>
          </cell>
          <cell r="C19">
            <v>302.7</v>
          </cell>
        </row>
        <row r="20">
          <cell r="B20">
            <v>0.49980000000000002</v>
          </cell>
          <cell r="C20">
            <v>220.2</v>
          </cell>
        </row>
        <row r="21">
          <cell r="B21">
            <v>0.4</v>
          </cell>
          <cell r="C21">
            <v>148.5</v>
          </cell>
        </row>
        <row r="22">
          <cell r="B22">
            <v>0.3</v>
          </cell>
          <cell r="C22">
            <v>87.25</v>
          </cell>
        </row>
        <row r="23">
          <cell r="B23">
            <v>0.19969999999999999</v>
          </cell>
          <cell r="C23">
            <v>39.119999999999997</v>
          </cell>
        </row>
        <row r="24">
          <cell r="B24">
            <v>9.9989999999999996E-2</v>
          </cell>
          <cell r="C24">
            <v>9.9489999999999998</v>
          </cell>
        </row>
        <row r="25">
          <cell r="A25" t="str">
            <v>20k</v>
          </cell>
          <cell r="B25">
            <v>0.6996</v>
          </cell>
          <cell r="C25">
            <v>304.39999999999998</v>
          </cell>
        </row>
        <row r="26">
          <cell r="B26">
            <v>0.59850000000000003</v>
          </cell>
          <cell r="C26">
            <v>234.8</v>
          </cell>
        </row>
        <row r="27">
          <cell r="B27">
            <v>0.49940000000000001</v>
          </cell>
          <cell r="C27">
            <v>168.8</v>
          </cell>
        </row>
        <row r="28">
          <cell r="B28">
            <v>0.3997</v>
          </cell>
          <cell r="C28">
            <v>112.6</v>
          </cell>
        </row>
        <row r="29">
          <cell r="B29">
            <v>0.3004</v>
          </cell>
          <cell r="C29">
            <v>66.08</v>
          </cell>
        </row>
        <row r="30">
          <cell r="B30">
            <v>0.19989999999999999</v>
          </cell>
          <cell r="C30">
            <v>32.43</v>
          </cell>
        </row>
        <row r="31">
          <cell r="B31">
            <v>9.9979999999999999E-2</v>
          </cell>
          <cell r="C31">
            <v>7.5129999999999999</v>
          </cell>
        </row>
        <row r="32">
          <cell r="A32" t="str">
            <v>16k</v>
          </cell>
          <cell r="B32">
            <v>0.69930000000000003</v>
          </cell>
          <cell r="C32">
            <v>215</v>
          </cell>
        </row>
        <row r="33">
          <cell r="B33">
            <v>0.5988</v>
          </cell>
          <cell r="C33">
            <v>166</v>
          </cell>
        </row>
        <row r="34">
          <cell r="B34">
            <v>0.50049999999999994</v>
          </cell>
          <cell r="C34">
            <v>122</v>
          </cell>
        </row>
        <row r="35">
          <cell r="B35">
            <v>0.3997</v>
          </cell>
          <cell r="C35">
            <v>82.28</v>
          </cell>
        </row>
        <row r="36">
          <cell r="B36">
            <v>0.29909999999999998</v>
          </cell>
          <cell r="C36">
            <v>48.49</v>
          </cell>
        </row>
        <row r="37">
          <cell r="B37">
            <v>0.19989999999999999</v>
          </cell>
          <cell r="C37">
            <v>24.08</v>
          </cell>
        </row>
        <row r="38">
          <cell r="B38">
            <v>0.1</v>
          </cell>
          <cell r="C38">
            <v>5.609</v>
          </cell>
        </row>
        <row r="46">
          <cell r="A46" t="str">
            <v>10k</v>
          </cell>
          <cell r="B46">
            <v>0.7984</v>
          </cell>
          <cell r="C46">
            <v>142</v>
          </cell>
        </row>
        <row r="47">
          <cell r="B47">
            <v>0.69830000000000003</v>
          </cell>
          <cell r="C47">
            <v>113.9</v>
          </cell>
        </row>
        <row r="48">
          <cell r="B48">
            <v>0.59860000000000002</v>
          </cell>
          <cell r="C48">
            <v>88.61</v>
          </cell>
        </row>
        <row r="49">
          <cell r="B49">
            <v>0.49859999999999999</v>
          </cell>
          <cell r="C49">
            <v>64.88</v>
          </cell>
        </row>
        <row r="50">
          <cell r="B50">
            <v>0.39960000000000001</v>
          </cell>
          <cell r="C50">
            <v>47.6</v>
          </cell>
        </row>
        <row r="51">
          <cell r="B51">
            <v>0.29980000000000001</v>
          </cell>
          <cell r="C51">
            <v>28.43</v>
          </cell>
        </row>
        <row r="52">
          <cell r="B52">
            <v>0.19989999999999999</v>
          </cell>
          <cell r="C52">
            <v>13.1</v>
          </cell>
        </row>
        <row r="53">
          <cell r="B53">
            <v>0.1</v>
          </cell>
          <cell r="C53">
            <v>3.0470000000000002</v>
          </cell>
        </row>
        <row r="54">
          <cell r="A54" t="str">
            <v>8k</v>
          </cell>
          <cell r="B54">
            <v>0.79790000000000005</v>
          </cell>
          <cell r="C54">
            <v>107.6</v>
          </cell>
        </row>
        <row r="55">
          <cell r="B55">
            <v>0.69869999999999999</v>
          </cell>
          <cell r="C55">
            <v>86.38</v>
          </cell>
        </row>
        <row r="56">
          <cell r="B56">
            <v>0.59870000000000001</v>
          </cell>
          <cell r="C56">
            <v>66.489999999999995</v>
          </cell>
        </row>
        <row r="57">
          <cell r="B57">
            <v>0.49930000000000002</v>
          </cell>
          <cell r="C57">
            <v>52.09</v>
          </cell>
        </row>
        <row r="58">
          <cell r="B58">
            <v>0.3997</v>
          </cell>
          <cell r="C58">
            <v>35.729999999999997</v>
          </cell>
        </row>
        <row r="59">
          <cell r="B59">
            <v>0.3</v>
          </cell>
          <cell r="C59">
            <v>21.46</v>
          </cell>
        </row>
        <row r="60">
          <cell r="B60">
            <v>0.20019999999999999</v>
          </cell>
          <cell r="C60">
            <v>9.9809999999999999</v>
          </cell>
        </row>
        <row r="61">
          <cell r="B61">
            <v>9.9940000000000001E-2</v>
          </cell>
          <cell r="C61">
            <v>2.3220000000000001</v>
          </cell>
        </row>
        <row r="62">
          <cell r="A62" t="str">
            <v>5k</v>
          </cell>
          <cell r="B62">
            <v>0.89780000000000004</v>
          </cell>
          <cell r="C62">
            <v>73.63</v>
          </cell>
        </row>
        <row r="63">
          <cell r="B63">
            <v>0.79930000000000001</v>
          </cell>
          <cell r="C63">
            <v>60.91</v>
          </cell>
        </row>
        <row r="64">
          <cell r="B64">
            <v>0.69820000000000004</v>
          </cell>
          <cell r="C64">
            <v>49.21</v>
          </cell>
        </row>
        <row r="65">
          <cell r="B65">
            <v>0.59940000000000004</v>
          </cell>
          <cell r="C65">
            <v>38.42</v>
          </cell>
        </row>
        <row r="66">
          <cell r="B66">
            <v>0.49909999999999999</v>
          </cell>
          <cell r="C66">
            <v>28.63</v>
          </cell>
        </row>
        <row r="67">
          <cell r="B67">
            <v>0.39939999999999998</v>
          </cell>
          <cell r="C67">
            <v>19.75</v>
          </cell>
        </row>
        <row r="68">
          <cell r="B68">
            <v>0.30009999999999998</v>
          </cell>
          <cell r="C68">
            <v>12.09</v>
          </cell>
        </row>
        <row r="69">
          <cell r="B69">
            <v>0.2</v>
          </cell>
          <cell r="C69">
            <v>5.77</v>
          </cell>
        </row>
        <row r="70">
          <cell r="B70">
            <v>9.9860000000000004E-2</v>
          </cell>
          <cell r="C70">
            <v>1.387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23"/>
  <sheetViews>
    <sheetView workbookViewId="0">
      <selection activeCell="K29" sqref="K29"/>
    </sheetView>
  </sheetViews>
  <sheetFormatPr baseColWidth="10" defaultColWidth="20.5703125" defaultRowHeight="30" customHeight="1"/>
  <cols>
    <col min="1" max="1" width="10.5703125" style="2" customWidth="1"/>
    <col min="2" max="2" width="30.5703125" style="2" customWidth="1"/>
    <col min="3" max="16384" width="20.5703125" style="2"/>
  </cols>
  <sheetData>
    <row r="1" spans="1:4" ht="30" customHeight="1">
      <c r="A1" s="15" t="s">
        <v>0</v>
      </c>
      <c r="B1" s="15" t="s">
        <v>1</v>
      </c>
      <c r="C1" s="15" t="s">
        <v>2</v>
      </c>
      <c r="D1" s="1" t="s">
        <v>3</v>
      </c>
    </row>
    <row r="2" spans="1:4" ht="30" customHeight="1">
      <c r="A2" s="15"/>
      <c r="B2" s="15"/>
      <c r="C2" s="15"/>
      <c r="D2" s="1" t="s">
        <v>4</v>
      </c>
    </row>
    <row r="3" spans="1:4" ht="30" customHeight="1">
      <c r="A3" s="1">
        <v>1</v>
      </c>
      <c r="B3" s="3" t="s">
        <v>21</v>
      </c>
      <c r="C3" s="1" t="s">
        <v>5</v>
      </c>
      <c r="D3" s="1">
        <v>25</v>
      </c>
    </row>
    <row r="4" spans="1:4" ht="42" customHeight="1">
      <c r="A4" s="1">
        <v>2</v>
      </c>
      <c r="B4" s="1" t="s">
        <v>22</v>
      </c>
      <c r="C4" s="1" t="s">
        <v>6</v>
      </c>
      <c r="D4" s="1">
        <v>1.56</v>
      </c>
    </row>
    <row r="5" spans="1:4" ht="30" customHeight="1">
      <c r="A5" s="1">
        <v>3</v>
      </c>
      <c r="B5" s="1" t="s">
        <v>33</v>
      </c>
      <c r="C5" s="1" t="s">
        <v>7</v>
      </c>
      <c r="D5" s="1">
        <v>7.6</v>
      </c>
    </row>
    <row r="6" spans="1:4" ht="30" customHeight="1">
      <c r="A6" s="1">
        <v>4</v>
      </c>
      <c r="B6" s="1" t="s">
        <v>24</v>
      </c>
      <c r="C6" s="1" t="s">
        <v>8</v>
      </c>
      <c r="D6" s="1">
        <v>510</v>
      </c>
    </row>
    <row r="7" spans="1:4" ht="30" customHeight="1">
      <c r="A7" s="1">
        <v>5</v>
      </c>
      <c r="B7" s="1" t="s">
        <v>23</v>
      </c>
      <c r="C7" s="1" t="s">
        <v>8</v>
      </c>
      <c r="D7" s="1">
        <v>410</v>
      </c>
    </row>
    <row r="8" spans="1:4" ht="30" customHeight="1">
      <c r="A8" s="1">
        <v>6</v>
      </c>
      <c r="B8" s="1" t="s">
        <v>25</v>
      </c>
      <c r="C8" s="1" t="s">
        <v>9</v>
      </c>
      <c r="D8" s="1">
        <v>7.18</v>
      </c>
    </row>
    <row r="9" spans="1:4" ht="30" customHeight="1">
      <c r="A9" s="1">
        <v>7</v>
      </c>
      <c r="B9" s="1" t="s">
        <v>26</v>
      </c>
      <c r="C9" s="1" t="s">
        <v>10</v>
      </c>
      <c r="D9" s="1">
        <v>130</v>
      </c>
    </row>
    <row r="10" spans="1:4" ht="30" customHeight="1">
      <c r="A10" s="1">
        <v>8</v>
      </c>
      <c r="B10" s="1" t="s">
        <v>27</v>
      </c>
      <c r="C10" s="1" t="s">
        <v>11</v>
      </c>
      <c r="D10" s="1" t="s">
        <v>12</v>
      </c>
    </row>
    <row r="11" spans="1:4" ht="30" customHeight="1">
      <c r="A11" s="1">
        <v>9</v>
      </c>
      <c r="B11" s="1" t="s">
        <v>28</v>
      </c>
      <c r="C11" s="1" t="s">
        <v>11</v>
      </c>
      <c r="D11" s="1" t="s">
        <v>13</v>
      </c>
    </row>
    <row r="12" spans="1:4" ht="30" customHeight="1">
      <c r="A12" s="1">
        <v>10</v>
      </c>
      <c r="B12" s="1" t="s">
        <v>29</v>
      </c>
      <c r="C12" s="1" t="s">
        <v>14</v>
      </c>
      <c r="D12" s="1">
        <v>27</v>
      </c>
    </row>
    <row r="13" spans="1:4" ht="30" customHeight="1">
      <c r="A13" s="1">
        <v>11</v>
      </c>
      <c r="B13" s="1" t="s">
        <v>30</v>
      </c>
      <c r="C13" s="1" t="s">
        <v>15</v>
      </c>
      <c r="D13" s="1" t="s">
        <v>16</v>
      </c>
    </row>
    <row r="14" spans="1:4" ht="30" customHeight="1">
      <c r="A14" s="3">
        <v>12</v>
      </c>
      <c r="B14" s="4" t="s">
        <v>31</v>
      </c>
      <c r="C14" s="1" t="s">
        <v>15</v>
      </c>
      <c r="D14" s="3">
        <v>960</v>
      </c>
    </row>
    <row r="15" spans="1:4" ht="30" customHeight="1">
      <c r="A15" s="5">
        <v>13</v>
      </c>
      <c r="B15" s="5" t="s">
        <v>32</v>
      </c>
      <c r="C15" s="5" t="s">
        <v>17</v>
      </c>
      <c r="D15" s="5">
        <v>544</v>
      </c>
    </row>
    <row r="16" spans="1:4" ht="30" customHeight="1">
      <c r="A16" s="3">
        <v>14</v>
      </c>
      <c r="B16" s="3" t="s">
        <v>34</v>
      </c>
      <c r="C16" s="3" t="s">
        <v>18</v>
      </c>
      <c r="D16" s="3">
        <v>8.99</v>
      </c>
    </row>
    <row r="17" spans="1:4" ht="30" customHeight="1">
      <c r="A17" s="5">
        <v>15</v>
      </c>
      <c r="B17" s="5" t="s">
        <v>35</v>
      </c>
      <c r="C17" s="5" t="s">
        <v>19</v>
      </c>
      <c r="D17" s="5">
        <v>1.2</v>
      </c>
    </row>
    <row r="19" spans="1:4" ht="30" customHeight="1">
      <c r="A19" s="6"/>
      <c r="B19" s="6"/>
      <c r="C19" s="6"/>
      <c r="D19" s="6"/>
    </row>
    <row r="21" spans="1:4" ht="30" customHeight="1">
      <c r="A21" s="6"/>
      <c r="B21" s="6"/>
      <c r="C21" s="6"/>
      <c r="D21" s="6"/>
    </row>
    <row r="23" spans="1:4" ht="30" customHeight="1">
      <c r="A23" s="6"/>
      <c r="B23" s="6"/>
      <c r="C23" s="6"/>
      <c r="D23" s="6"/>
    </row>
  </sheetData>
  <mergeCells count="3">
    <mergeCell ref="A1:A2"/>
    <mergeCell ref="B1:B2"/>
    <mergeCell ref="C1:C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184"/>
  <sheetViews>
    <sheetView workbookViewId="0">
      <selection activeCell="T26" sqref="T26"/>
    </sheetView>
  </sheetViews>
  <sheetFormatPr baseColWidth="10" defaultColWidth="9" defaultRowHeight="15"/>
  <cols>
    <col min="1" max="1" width="9" style="2"/>
    <col min="2" max="4" width="11.7109375" style="2" customWidth="1"/>
    <col min="5" max="16384" width="9" style="2"/>
  </cols>
  <sheetData>
    <row r="1" spans="1:15">
      <c r="A1" s="7" t="s">
        <v>36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 t="s">
        <v>45</v>
      </c>
      <c r="K1" s="7" t="s">
        <v>46</v>
      </c>
      <c r="L1" s="7" t="s">
        <v>47</v>
      </c>
      <c r="M1" s="7" t="s">
        <v>48</v>
      </c>
      <c r="N1" s="7" t="s">
        <v>49</v>
      </c>
      <c r="O1" s="7" t="s">
        <v>50</v>
      </c>
    </row>
    <row r="2" spans="1:15">
      <c r="A2" s="7" t="s">
        <v>51</v>
      </c>
      <c r="B2" s="7" t="s">
        <v>52</v>
      </c>
      <c r="C2" s="7">
        <v>7.4089999999999998</v>
      </c>
      <c r="D2" s="7">
        <v>31.44</v>
      </c>
      <c r="E2" s="7">
        <v>512.9</v>
      </c>
      <c r="F2" s="7">
        <v>1.62</v>
      </c>
      <c r="G2" s="7">
        <v>0.54869999999999997</v>
      </c>
      <c r="H2" s="7">
        <v>13.98</v>
      </c>
      <c r="I2" s="7">
        <v>1652</v>
      </c>
      <c r="J2" s="7" t="s">
        <v>53</v>
      </c>
      <c r="K2" s="7" t="s">
        <v>54</v>
      </c>
      <c r="L2" s="7">
        <v>65.33</v>
      </c>
      <c r="M2" s="7">
        <v>64.23</v>
      </c>
      <c r="N2" s="7">
        <v>4.1959999999999997</v>
      </c>
      <c r="O2" s="7">
        <v>150</v>
      </c>
    </row>
    <row r="3" spans="1:15">
      <c r="A3" s="7" t="s">
        <v>55</v>
      </c>
      <c r="B3" s="7" t="s">
        <v>52</v>
      </c>
      <c r="C3" s="7">
        <v>2.3650000000000002</v>
      </c>
      <c r="D3" s="7">
        <v>11.26</v>
      </c>
      <c r="E3" s="7">
        <v>128.30000000000001</v>
      </c>
      <c r="F3" s="7">
        <v>1.5609999999999999</v>
      </c>
      <c r="G3" s="7">
        <v>0.45369999999999999</v>
      </c>
      <c r="H3" s="7">
        <v>17.16</v>
      </c>
      <c r="I3" s="7">
        <v>1652</v>
      </c>
      <c r="J3" s="7" t="s">
        <v>53</v>
      </c>
      <c r="K3" s="7" t="s">
        <v>54</v>
      </c>
      <c r="L3" s="7">
        <v>65.33</v>
      </c>
      <c r="M3" s="7">
        <v>64.23</v>
      </c>
      <c r="N3" s="7">
        <v>4.1959999999999997</v>
      </c>
      <c r="O3" s="7">
        <v>25</v>
      </c>
    </row>
    <row r="5" spans="1:15">
      <c r="A5" s="16" t="s">
        <v>56</v>
      </c>
      <c r="B5" s="16"/>
      <c r="C5" s="17" t="s">
        <v>57</v>
      </c>
      <c r="D5" s="17"/>
    </row>
    <row r="6" spans="1:15">
      <c r="A6" s="8" t="s">
        <v>58</v>
      </c>
      <c r="B6" s="8" t="s">
        <v>59</v>
      </c>
      <c r="C6" s="9" t="s">
        <v>60</v>
      </c>
      <c r="D6" s="9" t="s">
        <v>20</v>
      </c>
    </row>
    <row r="7" spans="1:15">
      <c r="A7" s="8">
        <v>3.9916399999999998E-2</v>
      </c>
      <c r="B7" s="8">
        <v>0</v>
      </c>
      <c r="C7" s="10">
        <v>3.9831999999999999E-2</v>
      </c>
      <c r="D7" s="10">
        <v>0</v>
      </c>
    </row>
    <row r="8" spans="1:15">
      <c r="A8" s="8">
        <v>7.9968800000000007E-2</v>
      </c>
      <c r="B8" s="8">
        <v>2.37691E-4</v>
      </c>
      <c r="C8" s="10">
        <v>7.9781299999999999E-2</v>
      </c>
      <c r="D8" s="10">
        <v>7.4278500000000004E-4</v>
      </c>
    </row>
    <row r="9" spans="1:15">
      <c r="A9" s="8">
        <v>7.9968800000000007E-2</v>
      </c>
      <c r="B9" s="8">
        <v>2.37691E-4</v>
      </c>
      <c r="C9" s="10">
        <v>7.9781299999999999E-2</v>
      </c>
      <c r="D9" s="10">
        <v>7.4278500000000004E-4</v>
      </c>
    </row>
    <row r="10" spans="1:15">
      <c r="A10" s="8">
        <v>7.9968800000000007E-2</v>
      </c>
      <c r="B10" s="8">
        <v>2.37691E-4</v>
      </c>
      <c r="C10" s="10">
        <v>7.9781299999999999E-2</v>
      </c>
      <c r="D10" s="10">
        <v>7.4278500000000004E-4</v>
      </c>
    </row>
    <row r="11" spans="1:15">
      <c r="A11" s="8">
        <v>7.9968800000000007E-2</v>
      </c>
      <c r="B11" s="8">
        <v>2.37691E-4</v>
      </c>
      <c r="C11" s="10">
        <v>7.9781299999999999E-2</v>
      </c>
      <c r="D11" s="10">
        <v>7.4278500000000004E-4</v>
      </c>
    </row>
    <row r="12" spans="1:15">
      <c r="A12" s="8">
        <v>7.9968800000000007E-2</v>
      </c>
      <c r="B12" s="8">
        <v>2.37691E-4</v>
      </c>
      <c r="C12" s="10">
        <v>7.9781299999999999E-2</v>
      </c>
      <c r="D12" s="10">
        <v>7.4278500000000004E-4</v>
      </c>
    </row>
    <row r="13" spans="1:15">
      <c r="A13" s="8">
        <v>7.9968800000000007E-2</v>
      </c>
      <c r="B13" s="8">
        <v>2.37691E-4</v>
      </c>
      <c r="C13" s="10">
        <v>7.9781299999999999E-2</v>
      </c>
      <c r="D13" s="10">
        <v>7.4278500000000004E-4</v>
      </c>
    </row>
    <row r="14" spans="1:15">
      <c r="A14" s="8">
        <v>7.9968800000000007E-2</v>
      </c>
      <c r="B14" s="8">
        <v>2.37691E-4</v>
      </c>
      <c r="C14" s="10">
        <v>7.9781299999999999E-2</v>
      </c>
      <c r="D14" s="10">
        <v>7.4278500000000004E-4</v>
      </c>
    </row>
    <row r="15" spans="1:15">
      <c r="A15" s="8">
        <v>7.9968800000000007E-2</v>
      </c>
      <c r="B15" s="8">
        <v>2.37691E-4</v>
      </c>
      <c r="C15" s="10">
        <v>7.9781299999999999E-2</v>
      </c>
      <c r="D15" s="10">
        <v>7.4278500000000004E-4</v>
      </c>
    </row>
    <row r="16" spans="1:15">
      <c r="A16" s="8">
        <v>7.9968800000000007E-2</v>
      </c>
      <c r="B16" s="8">
        <v>2.37691E-4</v>
      </c>
      <c r="C16" s="10">
        <v>0.72021100000000005</v>
      </c>
      <c r="D16" s="10">
        <v>4.2546700000000003E-3</v>
      </c>
    </row>
    <row r="17" spans="1:4">
      <c r="A17" s="8">
        <v>7.9968800000000007E-2</v>
      </c>
      <c r="B17" s="8">
        <v>2.37691E-4</v>
      </c>
      <c r="C17" s="10">
        <v>0.87940799999999997</v>
      </c>
      <c r="D17" s="10">
        <v>7.1782800000000004E-3</v>
      </c>
    </row>
    <row r="18" spans="1:4">
      <c r="A18" s="8">
        <v>7.9968800000000007E-2</v>
      </c>
      <c r="B18" s="8">
        <v>2.37691E-4</v>
      </c>
      <c r="C18" s="10">
        <v>1.0398400000000001</v>
      </c>
      <c r="D18" s="10">
        <v>8.9847299999999998E-3</v>
      </c>
    </row>
    <row r="19" spans="1:4">
      <c r="A19" s="8">
        <v>7.9968800000000007E-2</v>
      </c>
      <c r="B19" s="8">
        <v>2.37691E-4</v>
      </c>
      <c r="C19" s="10">
        <v>1.4395800000000001</v>
      </c>
      <c r="D19" s="10">
        <v>1.3714799999999999E-2</v>
      </c>
    </row>
    <row r="20" spans="1:4">
      <c r="A20" s="8">
        <v>7.9968800000000007E-2</v>
      </c>
      <c r="B20" s="8">
        <v>2.37691E-4</v>
      </c>
      <c r="C20" s="10">
        <v>2.24091</v>
      </c>
      <c r="D20" s="10">
        <v>2.2747099999999999E-2</v>
      </c>
    </row>
    <row r="21" spans="1:4">
      <c r="A21" s="8">
        <v>7.9968800000000007E-2</v>
      </c>
      <c r="B21" s="8">
        <v>2.37691E-4</v>
      </c>
      <c r="C21" s="10">
        <v>3.84517</v>
      </c>
      <c r="D21" s="10">
        <v>6.5412600000000001E-2</v>
      </c>
    </row>
    <row r="22" spans="1:4">
      <c r="A22" s="8">
        <v>7.9968800000000007E-2</v>
      </c>
      <c r="B22" s="8">
        <v>2.37691E-4</v>
      </c>
      <c r="C22" s="10">
        <v>4.6397899999999996</v>
      </c>
      <c r="D22" s="10">
        <v>0.115993</v>
      </c>
    </row>
    <row r="23" spans="1:4">
      <c r="A23" s="8">
        <v>7.9968800000000007E-2</v>
      </c>
      <c r="B23" s="8">
        <v>2.37691E-4</v>
      </c>
      <c r="C23" s="10">
        <v>5.0364000000000004</v>
      </c>
      <c r="D23" s="10">
        <v>0.13168099999999999</v>
      </c>
    </row>
    <row r="24" spans="1:4">
      <c r="A24" s="8">
        <v>7.9968800000000007E-2</v>
      </c>
      <c r="B24" s="8">
        <v>2.37691E-4</v>
      </c>
      <c r="C24" s="10">
        <v>5.84443</v>
      </c>
      <c r="D24" s="10">
        <v>0.17905299999999999</v>
      </c>
    </row>
    <row r="25" spans="1:4">
      <c r="A25" s="8">
        <v>7.9968800000000007E-2</v>
      </c>
      <c r="B25" s="8">
        <v>2.37691E-4</v>
      </c>
      <c r="C25" s="10">
        <v>7.4406499999999998</v>
      </c>
      <c r="D25" s="10">
        <v>0.28556199999999998</v>
      </c>
    </row>
    <row r="26" spans="1:4">
      <c r="A26" s="8">
        <v>7.9968800000000007E-2</v>
      </c>
      <c r="B26" s="8">
        <v>2.37691E-4</v>
      </c>
      <c r="C26" s="10">
        <v>8.24057</v>
      </c>
      <c r="D26" s="10">
        <v>0.322357</v>
      </c>
    </row>
    <row r="27" spans="1:4">
      <c r="A27" s="8">
        <v>7.9968800000000007E-2</v>
      </c>
      <c r="B27" s="8">
        <v>2.37691E-4</v>
      </c>
      <c r="C27" s="10">
        <v>9.8387499999999992</v>
      </c>
      <c r="D27" s="10">
        <v>0.38874399999999998</v>
      </c>
    </row>
    <row r="28" spans="1:4">
      <c r="A28" s="8">
        <v>7.9968800000000007E-2</v>
      </c>
      <c r="B28" s="8">
        <v>2.37691E-4</v>
      </c>
      <c r="C28" s="10">
        <v>13.835599999999999</v>
      </c>
      <c r="D28" s="10">
        <v>0.48779</v>
      </c>
    </row>
    <row r="29" spans="1:4">
      <c r="A29" s="8">
        <v>2.6395300000000002</v>
      </c>
      <c r="B29" s="8">
        <v>2.8522999999999998E-4</v>
      </c>
      <c r="C29" s="10">
        <v>21.8063</v>
      </c>
      <c r="D29" s="10">
        <v>0.60582800000000003</v>
      </c>
    </row>
    <row r="30" spans="1:4">
      <c r="A30" s="8">
        <v>2.7190799999999999</v>
      </c>
      <c r="B30" s="8">
        <v>5.9422800000000003E-4</v>
      </c>
      <c r="C30" s="10">
        <v>25.8367</v>
      </c>
      <c r="D30" s="10">
        <v>0.64537900000000004</v>
      </c>
    </row>
    <row r="31" spans="1:4">
      <c r="A31" s="8">
        <v>2.7984</v>
      </c>
      <c r="B31" s="8">
        <v>8.5568899999999997E-4</v>
      </c>
      <c r="C31" s="10">
        <v>33.806800000000003</v>
      </c>
      <c r="D31" s="10">
        <v>0.71074400000000004</v>
      </c>
    </row>
    <row r="32" spans="1:4">
      <c r="A32" s="8">
        <v>2.8780600000000001</v>
      </c>
      <c r="B32" s="8">
        <v>1.2122299999999999E-3</v>
      </c>
      <c r="C32" s="10">
        <v>49.852800000000002</v>
      </c>
      <c r="D32" s="10">
        <v>0.80624899999999999</v>
      </c>
    </row>
    <row r="33" spans="1:4">
      <c r="A33" s="8">
        <v>2.9600599999999999</v>
      </c>
      <c r="B33" s="8">
        <v>1.68761E-3</v>
      </c>
      <c r="C33" s="10">
        <v>65.901700000000005</v>
      </c>
      <c r="D33" s="10">
        <v>0.87622500000000003</v>
      </c>
    </row>
    <row r="34" spans="1:4">
      <c r="A34" s="8">
        <v>3.0388199999999999</v>
      </c>
      <c r="B34" s="8">
        <v>2.02038E-3</v>
      </c>
      <c r="C34" s="10">
        <v>105.84</v>
      </c>
      <c r="D34" s="10">
        <v>1.0088600000000001</v>
      </c>
    </row>
    <row r="35" spans="1:4">
      <c r="A35" s="8">
        <v>3.19747</v>
      </c>
      <c r="B35" s="8">
        <v>2.7096799999999999E-3</v>
      </c>
      <c r="C35" s="10">
        <v>121.84399999999999</v>
      </c>
      <c r="D35" s="10">
        <v>1.04965</v>
      </c>
    </row>
    <row r="36" spans="1:4">
      <c r="A36" s="8">
        <v>3.3563900000000002</v>
      </c>
      <c r="B36" s="8">
        <v>3.5891400000000002E-3</v>
      </c>
      <c r="C36" s="10">
        <v>161.376</v>
      </c>
      <c r="D36" s="10">
        <v>1.13493</v>
      </c>
    </row>
    <row r="37" spans="1:4">
      <c r="A37" s="8">
        <v>3.5186700000000002</v>
      </c>
      <c r="B37" s="8">
        <v>4.3497500000000003E-3</v>
      </c>
      <c r="C37" s="10">
        <v>241.422</v>
      </c>
      <c r="D37" s="10">
        <v>1.2644200000000001</v>
      </c>
    </row>
    <row r="38" spans="1:4">
      <c r="A38" s="8">
        <v>3.92449</v>
      </c>
      <c r="B38" s="8">
        <v>6.3939000000000001E-3</v>
      </c>
      <c r="C38" s="10">
        <v>281.45</v>
      </c>
      <c r="D38" s="10">
        <v>1.31158</v>
      </c>
    </row>
    <row r="39" spans="1:4">
      <c r="A39" s="8">
        <v>4.3216599999999996</v>
      </c>
      <c r="B39" s="8">
        <v>8.4380400000000008E-3</v>
      </c>
      <c r="C39" s="10">
        <v>361.59899999999999</v>
      </c>
      <c r="D39" s="10">
        <v>1.38679</v>
      </c>
    </row>
    <row r="40" spans="1:4">
      <c r="A40" s="8">
        <v>5.1185200000000002</v>
      </c>
      <c r="B40" s="8">
        <v>1.2811599999999999E-2</v>
      </c>
      <c r="C40" s="10">
        <v>521.572</v>
      </c>
      <c r="D40" s="10">
        <v>1.48481</v>
      </c>
    </row>
    <row r="41" spans="1:4">
      <c r="A41" s="8">
        <v>5.92347</v>
      </c>
      <c r="B41" s="8">
        <v>1.8112099999999999E-2</v>
      </c>
      <c r="C41" s="10">
        <v>681.78800000000001</v>
      </c>
      <c r="D41" s="10">
        <v>1.5415700000000001</v>
      </c>
    </row>
    <row r="42" spans="1:4">
      <c r="A42" s="8">
        <v>6.72004</v>
      </c>
      <c r="B42" s="8">
        <v>2.43634E-2</v>
      </c>
      <c r="C42" s="10">
        <v>840.87</v>
      </c>
      <c r="D42" s="10">
        <v>1.57599</v>
      </c>
    </row>
    <row r="43" spans="1:4">
      <c r="A43" s="8">
        <v>7.5199699999999998</v>
      </c>
      <c r="B43" s="8">
        <v>3.49644E-2</v>
      </c>
      <c r="C43" s="10">
        <v>1241.5899999999999</v>
      </c>
      <c r="D43" s="10">
        <v>1.61944</v>
      </c>
    </row>
    <row r="44" spans="1:4">
      <c r="A44" s="8">
        <v>8.3159899999999993</v>
      </c>
      <c r="B44" s="8">
        <v>5.1103599999999999E-2</v>
      </c>
      <c r="C44" s="10">
        <v>1640.9</v>
      </c>
      <c r="D44" s="10">
        <v>1.6356999999999999</v>
      </c>
    </row>
    <row r="45" spans="1:4">
      <c r="A45" s="8">
        <v>9.1164699999999996</v>
      </c>
      <c r="B45" s="8">
        <v>7.4278499999999997E-2</v>
      </c>
      <c r="C45" s="10">
        <v>1652.12</v>
      </c>
      <c r="D45" s="10">
        <v>1.6362699999999999</v>
      </c>
    </row>
    <row r="46" spans="1:4">
      <c r="A46" s="8">
        <v>9.9208599999999993</v>
      </c>
      <c r="B46" s="8">
        <v>9.8665600000000006E-2</v>
      </c>
      <c r="C46" s="10">
        <v>1572.27</v>
      </c>
      <c r="D46" s="10">
        <v>1.6368400000000001</v>
      </c>
    </row>
    <row r="47" spans="1:4">
      <c r="A47" s="8">
        <v>10.7163</v>
      </c>
      <c r="B47" s="8">
        <v>0.121698</v>
      </c>
      <c r="C47" s="10">
        <v>1411.59</v>
      </c>
      <c r="D47" s="10">
        <v>1.6319900000000001</v>
      </c>
    </row>
    <row r="48" spans="1:4">
      <c r="A48" s="8">
        <v>12.3156</v>
      </c>
      <c r="B48" s="8">
        <v>0.155783</v>
      </c>
      <c r="C48" s="10">
        <v>1012.61</v>
      </c>
      <c r="D48" s="10">
        <v>1.6059399999999999</v>
      </c>
    </row>
    <row r="49" spans="1:4">
      <c r="A49" s="8">
        <v>16.349900000000002</v>
      </c>
      <c r="B49" s="8">
        <v>0.22956199999999999</v>
      </c>
      <c r="C49" s="10">
        <v>852.255</v>
      </c>
      <c r="D49" s="10">
        <v>1.5834999999999999</v>
      </c>
    </row>
    <row r="50" spans="1:4">
      <c r="A50" s="8">
        <v>20.288599999999999</v>
      </c>
      <c r="B50" s="8">
        <v>0.28698800000000002</v>
      </c>
      <c r="C50" s="10">
        <v>692.82100000000003</v>
      </c>
      <c r="D50" s="10">
        <v>1.5478499999999999</v>
      </c>
    </row>
    <row r="51" spans="1:4">
      <c r="A51" s="8">
        <v>28.337900000000001</v>
      </c>
      <c r="B51" s="8">
        <v>0.36968099999999998</v>
      </c>
      <c r="C51" s="10">
        <v>532.57799999999997</v>
      </c>
      <c r="D51" s="10">
        <v>1.4911799999999999</v>
      </c>
    </row>
    <row r="52" spans="1:4">
      <c r="A52" s="8">
        <v>36.339199999999998</v>
      </c>
      <c r="B52" s="8">
        <v>0.43036400000000002</v>
      </c>
      <c r="C52" s="10">
        <v>372.767</v>
      </c>
      <c r="D52" s="10">
        <v>1.3966700000000001</v>
      </c>
    </row>
    <row r="53" spans="1:4">
      <c r="A53" s="8">
        <v>52.3626</v>
      </c>
      <c r="B53" s="8">
        <v>0.51474399999999998</v>
      </c>
      <c r="C53" s="10">
        <v>292.64600000000002</v>
      </c>
      <c r="D53" s="10">
        <v>1.3234699999999999</v>
      </c>
    </row>
    <row r="54" spans="1:4">
      <c r="A54" s="8">
        <v>68.315200000000004</v>
      </c>
      <c r="B54" s="8">
        <v>0.57877800000000001</v>
      </c>
      <c r="C54" s="10">
        <v>212.47</v>
      </c>
      <c r="D54" s="10">
        <v>1.2274400000000001</v>
      </c>
    </row>
    <row r="55" spans="1:4">
      <c r="A55" s="8">
        <v>84.307500000000005</v>
      </c>
      <c r="B55" s="8">
        <v>0.629216</v>
      </c>
      <c r="C55" s="10">
        <v>172.43600000000001</v>
      </c>
      <c r="D55" s="10">
        <v>1.1640200000000001</v>
      </c>
    </row>
    <row r="56" spans="1:4">
      <c r="A56" s="8">
        <v>124.30500000000001</v>
      </c>
      <c r="B56" s="8">
        <v>0.72500600000000004</v>
      </c>
      <c r="C56" s="10">
        <v>133.482</v>
      </c>
      <c r="D56" s="10">
        <v>1.091</v>
      </c>
    </row>
    <row r="57" spans="1:4">
      <c r="A57" s="8">
        <v>163.869</v>
      </c>
      <c r="B57" s="8">
        <v>0.79721600000000004</v>
      </c>
      <c r="C57" s="10">
        <v>93.232200000000006</v>
      </c>
      <c r="D57" s="10">
        <v>1.0020100000000001</v>
      </c>
    </row>
    <row r="58" spans="1:4">
      <c r="A58" s="8">
        <v>203.90199999999999</v>
      </c>
      <c r="B58" s="8">
        <v>0.85920600000000003</v>
      </c>
      <c r="C58" s="10">
        <v>77.046099999999996</v>
      </c>
      <c r="D58" s="10">
        <v>0.95684999999999998</v>
      </c>
    </row>
    <row r="59" spans="1:4">
      <c r="A59" s="8">
        <v>284.04000000000002</v>
      </c>
      <c r="B59" s="8">
        <v>0.95761099999999999</v>
      </c>
      <c r="C59" s="10">
        <v>60.859900000000003</v>
      </c>
      <c r="D59" s="10">
        <v>0.90674500000000002</v>
      </c>
    </row>
    <row r="60" spans="1:4">
      <c r="A60" s="8">
        <v>364.18799999999999</v>
      </c>
      <c r="B60" s="8">
        <v>1.0380499999999999</v>
      </c>
      <c r="C60" s="10">
        <v>44.889600000000002</v>
      </c>
      <c r="D60" s="10">
        <v>0.84836800000000001</v>
      </c>
    </row>
    <row r="61" spans="1:4">
      <c r="A61" s="8">
        <v>444.09399999999999</v>
      </c>
      <c r="B61" s="8">
        <v>1.1045</v>
      </c>
      <c r="C61" s="10">
        <v>37.120199999999997</v>
      </c>
      <c r="D61" s="10">
        <v>0.81566099999999997</v>
      </c>
    </row>
    <row r="62" spans="1:4">
      <c r="A62" s="8">
        <v>524.21500000000003</v>
      </c>
      <c r="B62" s="8">
        <v>1.1626000000000001</v>
      </c>
      <c r="C62" s="10">
        <v>29.350899999999999</v>
      </c>
      <c r="D62" s="10">
        <v>0.77972200000000003</v>
      </c>
    </row>
    <row r="63" spans="1:4">
      <c r="A63" s="8">
        <v>684.32299999999998</v>
      </c>
      <c r="B63" s="8">
        <v>1.2585299999999999</v>
      </c>
      <c r="C63" s="10">
        <v>20.718299999999999</v>
      </c>
      <c r="D63" s="10">
        <v>0.73570199999999997</v>
      </c>
    </row>
    <row r="64" spans="1:4">
      <c r="A64" s="8">
        <v>843.24400000000003</v>
      </c>
      <c r="B64" s="8">
        <v>1.3357300000000001</v>
      </c>
      <c r="C64" s="10">
        <v>16.671700000000001</v>
      </c>
      <c r="D64" s="10">
        <v>0.70784499999999995</v>
      </c>
    </row>
    <row r="65" spans="1:4">
      <c r="A65" s="8">
        <v>1003.49</v>
      </c>
      <c r="B65" s="8">
        <v>1.39924</v>
      </c>
      <c r="C65" s="10">
        <v>13.0029</v>
      </c>
      <c r="D65" s="10">
        <v>0.68222099999999997</v>
      </c>
    </row>
    <row r="66" spans="1:4">
      <c r="A66" s="8">
        <v>1163.57</v>
      </c>
      <c r="B66" s="8">
        <v>1.45201</v>
      </c>
      <c r="C66" s="10">
        <v>11.276400000000001</v>
      </c>
      <c r="D66" s="10">
        <v>0.66938600000000004</v>
      </c>
    </row>
    <row r="67" spans="1:4">
      <c r="A67" s="8">
        <v>1563.04</v>
      </c>
      <c r="B67" s="8">
        <v>1.5504100000000001</v>
      </c>
      <c r="C67" s="10">
        <v>9.7656399999999994</v>
      </c>
      <c r="D67" s="10">
        <v>0.65612300000000001</v>
      </c>
    </row>
    <row r="68" spans="1:4">
      <c r="A68" s="8">
        <v>1652.39</v>
      </c>
      <c r="B68" s="8">
        <v>1.5675300000000001</v>
      </c>
      <c r="C68" s="10">
        <v>7.7693500000000002</v>
      </c>
      <c r="D68" s="10">
        <v>0.641957</v>
      </c>
    </row>
    <row r="69" spans="1:4">
      <c r="A69" s="8">
        <v>1572.48</v>
      </c>
      <c r="B69" s="8">
        <v>1.54861</v>
      </c>
      <c r="C69" s="10">
        <v>6.0967799999999999</v>
      </c>
      <c r="D69" s="10">
        <v>0.62836099999999995</v>
      </c>
    </row>
    <row r="70" spans="1:4">
      <c r="A70" s="8">
        <v>1412.13</v>
      </c>
      <c r="B70" s="8">
        <v>1.5161899999999999</v>
      </c>
      <c r="C70" s="10">
        <v>4.37026</v>
      </c>
      <c r="D70" s="10">
        <v>0.61352899999999999</v>
      </c>
    </row>
    <row r="71" spans="1:4">
      <c r="A71" s="8">
        <v>1252.27</v>
      </c>
      <c r="B71" s="8">
        <v>1.47787</v>
      </c>
      <c r="C71" s="10">
        <v>3.4530500000000002</v>
      </c>
      <c r="D71" s="10">
        <v>0.60506700000000002</v>
      </c>
    </row>
    <row r="72" spans="1:4">
      <c r="A72" s="8">
        <v>1092.24</v>
      </c>
      <c r="B72" s="8">
        <v>1.4326099999999999</v>
      </c>
      <c r="C72" s="10">
        <v>2.6976900000000001</v>
      </c>
      <c r="D72" s="10">
        <v>0.59665299999999999</v>
      </c>
    </row>
    <row r="73" spans="1:4">
      <c r="A73" s="8">
        <v>933.024</v>
      </c>
      <c r="B73" s="8">
        <v>1.3796600000000001</v>
      </c>
      <c r="C73" s="10">
        <v>2.7516500000000002</v>
      </c>
      <c r="D73" s="10">
        <v>0.59594000000000003</v>
      </c>
    </row>
    <row r="74" spans="1:4">
      <c r="A74" s="8">
        <v>772.94299999999998</v>
      </c>
      <c r="B74" s="8">
        <v>1.3150999999999999</v>
      </c>
      <c r="C74" s="10">
        <v>1.94234</v>
      </c>
      <c r="D74" s="10">
        <v>0.58552899999999997</v>
      </c>
    </row>
    <row r="75" spans="1:4">
      <c r="A75" s="8">
        <v>612.48400000000004</v>
      </c>
      <c r="B75" s="8">
        <v>1.2359899999999999</v>
      </c>
      <c r="C75" s="10">
        <v>1.83443</v>
      </c>
      <c r="D75" s="10">
        <v>0.58491099999999996</v>
      </c>
    </row>
    <row r="76" spans="1:4">
      <c r="A76" s="8">
        <v>452.45699999999999</v>
      </c>
      <c r="B76" s="8">
        <v>1.13645</v>
      </c>
      <c r="C76" s="10">
        <v>1.83443</v>
      </c>
      <c r="D76" s="10">
        <v>0.58186800000000005</v>
      </c>
    </row>
    <row r="77" spans="1:4">
      <c r="A77" s="8">
        <v>372.71300000000002</v>
      </c>
      <c r="B77" s="8">
        <v>1.07636</v>
      </c>
      <c r="C77" s="10">
        <v>0.86326099999999995</v>
      </c>
      <c r="D77" s="10">
        <v>0.57259800000000005</v>
      </c>
    </row>
    <row r="78" spans="1:4">
      <c r="A78" s="8">
        <v>292.59199999999998</v>
      </c>
      <c r="B78" s="8">
        <v>1.00505</v>
      </c>
      <c r="C78" s="10">
        <v>0.86326099999999995</v>
      </c>
      <c r="D78" s="10">
        <v>0.57202799999999998</v>
      </c>
    </row>
    <row r="79" spans="1:4">
      <c r="A79" s="8">
        <v>212.36199999999999</v>
      </c>
      <c r="B79" s="8">
        <v>0.91967500000000002</v>
      </c>
      <c r="C79" s="10">
        <v>0.86326099999999995</v>
      </c>
      <c r="D79" s="10">
        <v>0.5716</v>
      </c>
    </row>
    <row r="80" spans="1:4">
      <c r="A80" s="8">
        <v>173.19200000000001</v>
      </c>
      <c r="B80" s="8">
        <v>0.87071100000000001</v>
      </c>
      <c r="C80" s="10">
        <v>0.917215</v>
      </c>
      <c r="D80" s="10">
        <v>0.57069700000000001</v>
      </c>
    </row>
    <row r="81" spans="1:4">
      <c r="A81" s="8">
        <v>133.374</v>
      </c>
      <c r="B81" s="8">
        <v>0.81223900000000004</v>
      </c>
      <c r="C81" s="10">
        <v>0.86326099999999995</v>
      </c>
      <c r="D81" s="10">
        <v>0.56817700000000004</v>
      </c>
    </row>
    <row r="82" spans="1:4">
      <c r="A82" s="8">
        <v>93.232200000000006</v>
      </c>
      <c r="B82" s="8">
        <v>0.74207199999999995</v>
      </c>
      <c r="C82" s="10">
        <v>0.53953799999999996</v>
      </c>
      <c r="D82" s="10">
        <v>0.56318599999999996</v>
      </c>
    </row>
    <row r="83" spans="1:4">
      <c r="A83" s="8">
        <v>77.046099999999996</v>
      </c>
      <c r="B83" s="8">
        <v>0.70675100000000002</v>
      </c>
      <c r="C83" s="10">
        <v>0.64744599999999997</v>
      </c>
      <c r="D83" s="10">
        <v>0.562805</v>
      </c>
    </row>
    <row r="84" spans="1:4">
      <c r="A84" s="8">
        <v>60.805999999999997</v>
      </c>
      <c r="B84" s="8">
        <v>0.66881599999999997</v>
      </c>
      <c r="C84" s="10">
        <v>0.59349200000000002</v>
      </c>
      <c r="D84" s="10">
        <v>0.56171199999999999</v>
      </c>
    </row>
    <row r="85" spans="1:4">
      <c r="A85" s="8">
        <v>44.889600000000002</v>
      </c>
      <c r="B85" s="8">
        <v>0.62351199999999996</v>
      </c>
      <c r="C85" s="10">
        <v>0.48558400000000002</v>
      </c>
      <c r="D85" s="10">
        <v>0.56095099999999998</v>
      </c>
    </row>
    <row r="86" spans="1:4">
      <c r="A86" s="8">
        <v>37.120199999999997</v>
      </c>
      <c r="B86" s="8">
        <v>0.59845899999999996</v>
      </c>
      <c r="C86" s="10">
        <v>0.48558400000000002</v>
      </c>
      <c r="D86" s="10">
        <v>0.56042800000000004</v>
      </c>
    </row>
    <row r="87" spans="1:4">
      <c r="A87" s="8">
        <v>29.350899999999999</v>
      </c>
      <c r="B87" s="8">
        <v>0.57212300000000005</v>
      </c>
      <c r="C87" s="10">
        <v>0.59349200000000002</v>
      </c>
      <c r="D87" s="10">
        <v>0.55971499999999996</v>
      </c>
    </row>
    <row r="88" spans="1:4">
      <c r="A88" s="8">
        <v>20.718299999999999</v>
      </c>
      <c r="B88" s="8">
        <v>0.53684900000000002</v>
      </c>
      <c r="C88" s="10">
        <v>-7.9750299999999996E-2</v>
      </c>
      <c r="D88" s="10">
        <v>0.54725999999999997</v>
      </c>
    </row>
    <row r="89" spans="1:4">
      <c r="A89" s="8">
        <v>16.4559</v>
      </c>
      <c r="B89" s="8">
        <v>0.51888000000000001</v>
      </c>
      <c r="C89" s="10">
        <v>-0.15990599999999999</v>
      </c>
      <c r="D89" s="10">
        <v>0.54493100000000005</v>
      </c>
    </row>
    <row r="90" spans="1:4">
      <c r="A90" s="8">
        <v>12.9489</v>
      </c>
      <c r="B90" s="8">
        <v>0.50124299999999999</v>
      </c>
      <c r="C90" s="10">
        <v>-0.24002200000000001</v>
      </c>
      <c r="D90" s="10">
        <v>0.54322000000000004</v>
      </c>
    </row>
    <row r="91" spans="1:4">
      <c r="A91" s="8">
        <v>11.2224</v>
      </c>
      <c r="B91" s="8">
        <v>0.49268600000000001</v>
      </c>
      <c r="C91" s="10">
        <v>-0.32024999999999998</v>
      </c>
      <c r="D91" s="10">
        <v>0.54174599999999995</v>
      </c>
    </row>
    <row r="92" spans="1:4">
      <c r="A92" s="8">
        <v>9.49587</v>
      </c>
      <c r="B92" s="8">
        <v>0.48403400000000002</v>
      </c>
      <c r="C92" s="10">
        <v>-0.40046700000000002</v>
      </c>
      <c r="D92" s="10">
        <v>0.54013</v>
      </c>
    </row>
    <row r="93" spans="1:4">
      <c r="A93" s="8">
        <v>7.8233100000000002</v>
      </c>
      <c r="B93" s="8">
        <v>0.47504999999999997</v>
      </c>
      <c r="C93" s="10">
        <v>-0.47961599999999999</v>
      </c>
      <c r="D93" s="10">
        <v>0.53870300000000004</v>
      </c>
    </row>
    <row r="94" spans="1:4">
      <c r="A94" s="8">
        <v>6.0428300000000004</v>
      </c>
      <c r="B94" s="8">
        <v>0.465922</v>
      </c>
      <c r="C94" s="10">
        <v>-0.64016300000000004</v>
      </c>
      <c r="D94" s="10">
        <v>0.53623200000000004</v>
      </c>
    </row>
    <row r="95" spans="1:4">
      <c r="A95" s="8">
        <v>4.37026</v>
      </c>
      <c r="B95" s="8">
        <v>0.45470300000000002</v>
      </c>
      <c r="C95" s="10">
        <v>-0.800203</v>
      </c>
      <c r="D95" s="10">
        <v>0.53428200000000003</v>
      </c>
    </row>
    <row r="96" spans="1:4">
      <c r="A96" s="8">
        <v>3.5609500000000001</v>
      </c>
      <c r="B96" s="8">
        <v>0.450187</v>
      </c>
      <c r="C96" s="10">
        <v>-0.95951299999999995</v>
      </c>
      <c r="D96" s="10">
        <v>0.53337900000000005</v>
      </c>
    </row>
    <row r="97" spans="1:4">
      <c r="A97" s="8">
        <v>2.85955</v>
      </c>
      <c r="B97" s="8">
        <v>0.44457799999999997</v>
      </c>
      <c r="C97" s="10">
        <v>-1.3594200000000001</v>
      </c>
      <c r="D97" s="10">
        <v>0.53086</v>
      </c>
    </row>
    <row r="98" spans="1:4">
      <c r="A98" s="8">
        <v>2.91351</v>
      </c>
      <c r="B98" s="8">
        <v>0.44438800000000001</v>
      </c>
      <c r="C98" s="10">
        <v>-1.7648600000000001</v>
      </c>
      <c r="D98" s="10">
        <v>0.52681900000000004</v>
      </c>
    </row>
    <row r="99" spans="1:4">
      <c r="A99" s="8">
        <v>1.9962899999999999</v>
      </c>
      <c r="B99" s="8">
        <v>0.43849300000000002</v>
      </c>
      <c r="C99" s="10">
        <v>-2.1615899999999999</v>
      </c>
      <c r="D99" s="10">
        <v>0.52273099999999995</v>
      </c>
    </row>
    <row r="100" spans="1:4">
      <c r="A100" s="8">
        <v>1.94234</v>
      </c>
      <c r="B100" s="8">
        <v>0.43844499999999997</v>
      </c>
      <c r="C100" s="10">
        <v>-2.9589400000000001</v>
      </c>
      <c r="D100" s="10">
        <v>0.51270000000000004</v>
      </c>
    </row>
    <row r="101" spans="1:4">
      <c r="A101" s="8">
        <v>1.94234</v>
      </c>
      <c r="B101" s="8">
        <v>0.43797000000000003</v>
      </c>
      <c r="C101" s="10">
        <v>-3.7647300000000001</v>
      </c>
      <c r="D101" s="10">
        <v>0.50095800000000001</v>
      </c>
    </row>
    <row r="102" spans="1:4">
      <c r="A102" s="8">
        <v>1.94234</v>
      </c>
      <c r="B102" s="8">
        <v>0.43844499999999997</v>
      </c>
      <c r="C102" s="10">
        <v>-4.5613099999999998</v>
      </c>
      <c r="D102" s="10">
        <v>0.48793300000000001</v>
      </c>
    </row>
    <row r="103" spans="1:4">
      <c r="A103" s="8">
        <v>1.9962899999999999</v>
      </c>
      <c r="B103" s="8">
        <v>0.43853999999999999</v>
      </c>
      <c r="C103" s="10">
        <v>-6.1611599999999997</v>
      </c>
      <c r="D103" s="10">
        <v>0.458316</v>
      </c>
    </row>
    <row r="104" spans="1:4">
      <c r="A104" s="8">
        <v>0.86326099999999995</v>
      </c>
      <c r="B104" s="8">
        <v>0.43221799999999999</v>
      </c>
      <c r="C104" s="10">
        <v>-7.7579399999999996</v>
      </c>
      <c r="D104" s="10">
        <v>0.41557899999999998</v>
      </c>
    </row>
    <row r="105" spans="1:4">
      <c r="A105" s="8">
        <v>0.86326099999999995</v>
      </c>
      <c r="B105" s="8">
        <v>0.43240800000000001</v>
      </c>
      <c r="C105" s="10">
        <v>-8.5567499999999992</v>
      </c>
      <c r="D105" s="10">
        <v>0.34379700000000002</v>
      </c>
    </row>
    <row r="106" spans="1:4">
      <c r="A106" s="8">
        <v>0.86326099999999995</v>
      </c>
      <c r="B106" s="8">
        <v>0.43207499999999999</v>
      </c>
      <c r="C106" s="10">
        <v>-9.3611400000000007</v>
      </c>
      <c r="D106" s="10">
        <v>0.27871699999999999</v>
      </c>
    </row>
    <row r="107" spans="1:4">
      <c r="A107" s="8">
        <v>0.86326099999999995</v>
      </c>
      <c r="B107" s="8">
        <v>0.43274099999999999</v>
      </c>
      <c r="C107" s="10">
        <v>-10.154400000000001</v>
      </c>
      <c r="D107" s="10">
        <v>0.227518</v>
      </c>
    </row>
    <row r="108" spans="1:4">
      <c r="A108" s="8">
        <v>0.86326099999999995</v>
      </c>
      <c r="B108" s="8">
        <v>0.431838</v>
      </c>
      <c r="C108" s="10">
        <v>-10.9604</v>
      </c>
      <c r="D108" s="10">
        <v>0.17736499999999999</v>
      </c>
    </row>
    <row r="109" spans="1:4">
      <c r="A109" s="8">
        <v>0.53953799999999996</v>
      </c>
      <c r="B109" s="8">
        <v>0.42874800000000002</v>
      </c>
      <c r="C109" s="10">
        <v>-11.7559</v>
      </c>
      <c r="D109" s="10">
        <v>0.122126</v>
      </c>
    </row>
    <row r="110" spans="1:4">
      <c r="A110" s="8">
        <v>0.48558400000000002</v>
      </c>
      <c r="B110" s="8">
        <v>0.42865199999999998</v>
      </c>
      <c r="C110" s="10">
        <v>-12.1553</v>
      </c>
      <c r="D110" s="10">
        <v>9.6217399999999995E-2</v>
      </c>
    </row>
    <row r="111" spans="1:4">
      <c r="A111" s="8">
        <v>0.53953799999999996</v>
      </c>
      <c r="B111" s="8">
        <v>0.42922300000000002</v>
      </c>
      <c r="C111" s="10">
        <v>-12.5648</v>
      </c>
      <c r="D111" s="10">
        <v>6.6743700000000003E-2</v>
      </c>
    </row>
    <row r="112" spans="1:4">
      <c r="A112" s="8">
        <v>0.53953799999999996</v>
      </c>
      <c r="B112" s="8">
        <v>0.42860500000000001</v>
      </c>
      <c r="C112" s="10">
        <v>-12.9602</v>
      </c>
      <c r="D112" s="10">
        <v>4.1714800000000003E-2</v>
      </c>
    </row>
    <row r="113" spans="1:4">
      <c r="A113" s="8">
        <v>0.53953799999999996</v>
      </c>
      <c r="B113" s="8">
        <v>0.42917499999999997</v>
      </c>
      <c r="C113" s="10">
        <v>-13.1211</v>
      </c>
      <c r="D113" s="10">
        <v>3.7174899999999997E-2</v>
      </c>
    </row>
    <row r="114" spans="1:4">
      <c r="A114" s="8">
        <v>-7.9750299999999996E-2</v>
      </c>
      <c r="B114" s="8">
        <v>0.45736599999999999</v>
      </c>
      <c r="C114" s="10">
        <v>-13.279199999999999</v>
      </c>
      <c r="D114" s="10">
        <v>2.9045899999999999E-2</v>
      </c>
    </row>
    <row r="115" spans="1:4">
      <c r="A115" s="8">
        <v>-0.15992799999999999</v>
      </c>
      <c r="B115" s="8">
        <v>0.46967799999999998</v>
      </c>
      <c r="C115" s="10">
        <v>-13.437900000000001</v>
      </c>
      <c r="D115" s="10">
        <v>2.0203800000000001E-2</v>
      </c>
    </row>
    <row r="116" spans="1:4">
      <c r="A116" s="8">
        <v>-0.240033</v>
      </c>
      <c r="B116" s="8">
        <v>0.469393</v>
      </c>
      <c r="C116" s="10">
        <v>-13.597099999999999</v>
      </c>
      <c r="D116" s="10">
        <v>1.2431299999999999E-2</v>
      </c>
    </row>
    <row r="117" spans="1:4">
      <c r="A117" s="8">
        <v>-0.32024999999999998</v>
      </c>
      <c r="B117" s="8">
        <v>0.468775</v>
      </c>
      <c r="C117" s="10">
        <v>-13.6769</v>
      </c>
      <c r="D117" s="10">
        <v>1.0410900000000001E-2</v>
      </c>
    </row>
    <row r="118" spans="1:4">
      <c r="A118" s="8">
        <v>-0.40055200000000002</v>
      </c>
      <c r="B118" s="8">
        <v>0.46787200000000001</v>
      </c>
      <c r="C118" s="10">
        <v>-13.755100000000001</v>
      </c>
      <c r="D118" s="10">
        <v>8.2478900000000008E-3</v>
      </c>
    </row>
    <row r="119" spans="1:4">
      <c r="A119" s="8">
        <v>-0.47964400000000001</v>
      </c>
      <c r="B119" s="8">
        <v>0.46701599999999999</v>
      </c>
      <c r="C119" s="10">
        <v>-13.835599999999999</v>
      </c>
      <c r="D119" s="10">
        <v>5.7521300000000003E-3</v>
      </c>
    </row>
    <row r="120" spans="1:4">
      <c r="A120" s="8">
        <v>-0.64021899999999998</v>
      </c>
      <c r="B120" s="8">
        <v>0.46587499999999998</v>
      </c>
      <c r="C120" s="10">
        <v>-13.914899999999999</v>
      </c>
      <c r="D120" s="10">
        <v>2.1154500000000001E-3</v>
      </c>
    </row>
    <row r="121" spans="1:4">
      <c r="A121" s="8">
        <v>-0.80014700000000005</v>
      </c>
      <c r="B121" s="8">
        <v>0.46435399999999999</v>
      </c>
      <c r="C121" s="10">
        <v>-14.004799999999999</v>
      </c>
      <c r="D121" s="10">
        <v>-8.7945799999999995E-4</v>
      </c>
    </row>
    <row r="122" spans="1:4">
      <c r="A122" s="8">
        <v>-0.95951299999999995</v>
      </c>
      <c r="B122" s="8">
        <v>0.45028200000000002</v>
      </c>
      <c r="C122" s="10">
        <v>-14.0808</v>
      </c>
      <c r="D122" s="10">
        <v>-4.0169799999999999E-3</v>
      </c>
    </row>
    <row r="123" spans="1:4">
      <c r="A123" s="8">
        <v>-1.35947</v>
      </c>
      <c r="B123" s="8">
        <v>0.44709700000000002</v>
      </c>
      <c r="C123" s="10">
        <v>-14.1601</v>
      </c>
      <c r="D123" s="10">
        <v>-7.6774299999999998E-3</v>
      </c>
    </row>
    <row r="124" spans="1:4">
      <c r="A124" s="8">
        <v>-1.7554799999999999</v>
      </c>
      <c r="B124" s="8">
        <v>0.44300899999999999</v>
      </c>
      <c r="C124" s="10">
        <v>-14.24</v>
      </c>
      <c r="D124" s="10">
        <v>-9.3412700000000005E-3</v>
      </c>
    </row>
    <row r="125" spans="1:4">
      <c r="A125" s="8">
        <v>-2.1619199999999998</v>
      </c>
      <c r="B125" s="8">
        <v>0.439253</v>
      </c>
      <c r="C125" s="10">
        <v>-14.320499999999999</v>
      </c>
      <c r="D125" s="10">
        <v>-1.46418E-2</v>
      </c>
    </row>
    <row r="126" spans="1:4">
      <c r="A126" s="8">
        <v>-2.9589400000000001</v>
      </c>
      <c r="B126" s="8">
        <v>0.43136200000000002</v>
      </c>
      <c r="C126" s="10">
        <v>-14.399800000000001</v>
      </c>
      <c r="D126" s="10">
        <v>-1.7612900000000001E-2</v>
      </c>
    </row>
    <row r="127" spans="1:4">
      <c r="A127" s="8">
        <v>-3.7647300000000001</v>
      </c>
      <c r="B127" s="8">
        <v>0.42323300000000003</v>
      </c>
      <c r="C127" s="10">
        <v>-14.479699999999999</v>
      </c>
      <c r="D127" s="10">
        <v>-1.8302200000000001E-2</v>
      </c>
    </row>
    <row r="128" spans="1:4">
      <c r="A128" s="8">
        <v>-4.5613099999999998</v>
      </c>
      <c r="B128" s="8">
        <v>0.41505700000000001</v>
      </c>
      <c r="C128" s="10">
        <v>-14.564</v>
      </c>
      <c r="D128" s="10">
        <v>-2.3959299999999999E-2</v>
      </c>
    </row>
    <row r="129" spans="1:4">
      <c r="A129" s="8">
        <v>-6.1611599999999997</v>
      </c>
      <c r="B129" s="8">
        <v>0.39390199999999997</v>
      </c>
      <c r="C129" s="10">
        <v>-14.6562</v>
      </c>
      <c r="D129" s="10">
        <v>-2.7786100000000001E-2</v>
      </c>
    </row>
    <row r="130" spans="1:4">
      <c r="A130" s="8">
        <v>-7.7579399999999996</v>
      </c>
      <c r="B130" s="8">
        <v>0.370751</v>
      </c>
      <c r="C130" s="10">
        <v>-14.824299999999999</v>
      </c>
      <c r="D130" s="10">
        <v>-3.5297200000000001E-2</v>
      </c>
    </row>
    <row r="131" spans="1:4">
      <c r="A131" s="8">
        <v>-9.3605800000000006</v>
      </c>
      <c r="B131" s="8">
        <v>0.318934</v>
      </c>
      <c r="C131" s="10">
        <v>-15.004200000000001</v>
      </c>
      <c r="D131" s="10">
        <v>-4.5636700000000002E-2</v>
      </c>
    </row>
    <row r="132" spans="1:4">
      <c r="A132" s="8">
        <v>-10.951499999999999</v>
      </c>
      <c r="B132" s="8">
        <v>0.24482200000000001</v>
      </c>
      <c r="C132" s="10">
        <v>-15.090199999999999</v>
      </c>
      <c r="D132" s="10">
        <v>-4.7562E-2</v>
      </c>
    </row>
    <row r="133" spans="1:4">
      <c r="A133" s="8">
        <v>-11.756399999999999</v>
      </c>
      <c r="B133" s="8">
        <v>0.20199</v>
      </c>
      <c r="C133" s="10">
        <v>-15.540699999999999</v>
      </c>
      <c r="D133" s="10">
        <v>-6.8217399999999997E-2</v>
      </c>
    </row>
    <row r="134" spans="1:4">
      <c r="A134" s="8">
        <v>-12.5547</v>
      </c>
      <c r="B134" s="8">
        <v>0.16281899999999999</v>
      </c>
      <c r="C134" s="10">
        <v>-15.8995</v>
      </c>
      <c r="D134" s="10">
        <v>-8.2954200000000006E-2</v>
      </c>
    </row>
    <row r="135" spans="1:4">
      <c r="A135" s="8">
        <v>-13.360799999999999</v>
      </c>
      <c r="B135" s="8">
        <v>0.13286899999999999</v>
      </c>
      <c r="C135" s="10">
        <v>-16.701899999999998</v>
      </c>
      <c r="D135" s="10">
        <v>-0.119036</v>
      </c>
    </row>
    <row r="136" spans="1:4">
      <c r="A136" s="8">
        <v>-14.1518</v>
      </c>
      <c r="B136" s="8">
        <v>0.10417999999999999</v>
      </c>
      <c r="C136" s="10">
        <v>-17.513400000000001</v>
      </c>
      <c r="D136" s="10">
        <v>-0.15155199999999999</v>
      </c>
    </row>
    <row r="137" spans="1:4">
      <c r="A137" s="8">
        <v>-15.004200000000001</v>
      </c>
      <c r="B137" s="8">
        <v>6.9667300000000001E-2</v>
      </c>
      <c r="C137" s="10">
        <v>-18.3125</v>
      </c>
      <c r="D137" s="10">
        <v>-0.178649</v>
      </c>
    </row>
    <row r="138" spans="1:4">
      <c r="A138" s="8">
        <v>-15.715</v>
      </c>
      <c r="B138" s="8">
        <v>4.6373600000000001E-2</v>
      </c>
      <c r="C138" s="10">
        <v>-19.9208</v>
      </c>
      <c r="D138" s="10">
        <v>-0.225046</v>
      </c>
    </row>
    <row r="139" spans="1:4">
      <c r="A139" s="8">
        <v>-16.1632</v>
      </c>
      <c r="B139" s="8">
        <v>3.1446599999999998E-2</v>
      </c>
      <c r="C139" s="10">
        <v>-23.954499999999999</v>
      </c>
      <c r="D139" s="10">
        <v>-0.307668</v>
      </c>
    </row>
    <row r="140" spans="1:4">
      <c r="A140" s="8">
        <v>-16.341999999999999</v>
      </c>
      <c r="B140" s="8">
        <v>2.5813300000000001E-2</v>
      </c>
      <c r="C140" s="10">
        <v>-27.890899999999998</v>
      </c>
      <c r="D140" s="10">
        <v>-0.363763</v>
      </c>
    </row>
    <row r="141" spans="1:4">
      <c r="A141" s="8">
        <v>-16.437100000000001</v>
      </c>
      <c r="B141" s="8">
        <v>2.3127399999999999E-2</v>
      </c>
      <c r="C141" s="10">
        <v>-35.979799999999997</v>
      </c>
      <c r="D141" s="10">
        <v>-0.44876100000000002</v>
      </c>
    </row>
    <row r="142" spans="1:4">
      <c r="A142" s="8">
        <v>-16.6159</v>
      </c>
      <c r="B142" s="8">
        <v>1.73752E-2</v>
      </c>
      <c r="C142" s="10">
        <v>-43.942</v>
      </c>
      <c r="D142" s="10">
        <v>-0.507328</v>
      </c>
    </row>
    <row r="143" spans="1:4">
      <c r="A143" s="8">
        <v>-16.793600000000001</v>
      </c>
      <c r="B143" s="8">
        <v>1.19796E-2</v>
      </c>
      <c r="C143" s="10">
        <v>-59.979599999999998</v>
      </c>
      <c r="D143" s="10">
        <v>-0.59489400000000003</v>
      </c>
    </row>
    <row r="144" spans="1:4">
      <c r="A144" s="8">
        <v>-16.878499999999999</v>
      </c>
      <c r="B144" s="8">
        <v>7.3921999999999998E-3</v>
      </c>
      <c r="C144" s="10">
        <v>-75.875600000000006</v>
      </c>
      <c r="D144" s="10">
        <v>-0.65564800000000001</v>
      </c>
    </row>
    <row r="145" spans="1:4">
      <c r="A145" s="8">
        <v>-16.971299999999999</v>
      </c>
      <c r="B145" s="8">
        <v>6.1799699999999999E-3</v>
      </c>
      <c r="C145" s="10">
        <v>-91.930199999999999</v>
      </c>
      <c r="D145" s="10">
        <v>-0.70475500000000002</v>
      </c>
    </row>
    <row r="146" spans="1:4">
      <c r="A146" s="8">
        <v>-17.060700000000001</v>
      </c>
      <c r="B146" s="8">
        <v>3.13752E-3</v>
      </c>
      <c r="C146" s="10">
        <v>-107.94499999999999</v>
      </c>
      <c r="D146" s="10">
        <v>-0.74787199999999998</v>
      </c>
    </row>
    <row r="147" spans="1:4">
      <c r="A147" s="8">
        <v>-17.1569</v>
      </c>
      <c r="B147" s="11">
        <v>-4.7538299999999999E-5</v>
      </c>
      <c r="C147" s="10">
        <v>-147.78</v>
      </c>
      <c r="D147" s="10">
        <v>-0.83591300000000002</v>
      </c>
    </row>
    <row r="148" spans="1:4">
      <c r="A148" s="8">
        <v>-17.2395</v>
      </c>
      <c r="B148" s="8">
        <v>-3.7792899999999998E-3</v>
      </c>
      <c r="C148" s="10">
        <v>-187.75899999999999</v>
      </c>
      <c r="D148" s="10">
        <v>-0.90645900000000001</v>
      </c>
    </row>
    <row r="149" spans="1:4">
      <c r="A149" s="8">
        <v>-17.2395</v>
      </c>
      <c r="B149" s="8">
        <v>-6.4176599999999999E-4</v>
      </c>
      <c r="C149" s="10">
        <v>-227.87899999999999</v>
      </c>
      <c r="D149" s="10">
        <v>-0.96578699999999995</v>
      </c>
    </row>
    <row r="150" spans="1:4">
      <c r="A150" s="8">
        <v>-17.328900000000001</v>
      </c>
      <c r="B150" s="8">
        <v>-4.5399000000000004E-3</v>
      </c>
      <c r="C150" s="10">
        <v>-307.94099999999997</v>
      </c>
      <c r="D150" s="10">
        <v>-1.0635300000000001</v>
      </c>
    </row>
    <row r="151" spans="1:4">
      <c r="A151" s="8">
        <v>-17.4206</v>
      </c>
      <c r="B151" s="8">
        <v>-1.01732E-2</v>
      </c>
      <c r="C151" s="10">
        <v>-388.30599999999998</v>
      </c>
      <c r="D151" s="10">
        <v>-1.1413</v>
      </c>
    </row>
    <row r="152" spans="1:4">
      <c r="A152" s="8">
        <v>-17.513400000000001</v>
      </c>
      <c r="B152" s="8">
        <v>-1.15043E-2</v>
      </c>
      <c r="C152" s="10">
        <v>-468.31900000000002</v>
      </c>
      <c r="D152" s="10">
        <v>-1.2059500000000001</v>
      </c>
    </row>
    <row r="153" spans="1:4">
      <c r="A153" s="8">
        <v>-17.688800000000001</v>
      </c>
      <c r="B153" s="8">
        <v>-1.5449900000000001E-2</v>
      </c>
      <c r="C153" s="10">
        <v>-547.49599999999998</v>
      </c>
      <c r="D153" s="10">
        <v>-1.26033</v>
      </c>
    </row>
    <row r="154" spans="1:4">
      <c r="A154" s="8">
        <v>-17.869900000000001</v>
      </c>
      <c r="B154" s="8">
        <v>-2.1748799999999999E-2</v>
      </c>
      <c r="C154" s="10">
        <v>-707.38900000000001</v>
      </c>
      <c r="D154" s="10">
        <v>-1.35009</v>
      </c>
    </row>
    <row r="155" spans="1:4">
      <c r="A155" s="8">
        <v>-17.9514</v>
      </c>
      <c r="B155" s="8">
        <v>-2.3483899999999999E-2</v>
      </c>
      <c r="C155" s="10">
        <v>-867.57799999999997</v>
      </c>
      <c r="D155" s="10">
        <v>-1.41892</v>
      </c>
    </row>
    <row r="156" spans="1:4">
      <c r="A156" s="8">
        <v>-18.134799999999998</v>
      </c>
      <c r="B156" s="8">
        <v>-2.9069600000000001E-2</v>
      </c>
      <c r="C156" s="10">
        <v>-1027.5999999999999</v>
      </c>
      <c r="D156" s="10">
        <v>-1.47312</v>
      </c>
    </row>
    <row r="157" spans="1:4">
      <c r="A157" s="8">
        <v>-18.309100000000001</v>
      </c>
      <c r="B157" s="8">
        <v>-3.5011899999999999E-2</v>
      </c>
      <c r="C157" s="10">
        <v>-1427.29</v>
      </c>
      <c r="D157" s="10">
        <v>-1.5681</v>
      </c>
    </row>
    <row r="158" spans="1:4">
      <c r="A158" s="8">
        <v>-18.670100000000001</v>
      </c>
      <c r="B158" s="8">
        <v>-4.5470299999999998E-2</v>
      </c>
      <c r="C158" s="10">
        <v>-1652.12</v>
      </c>
      <c r="D158" s="10">
        <v>-1.60328</v>
      </c>
    </row>
    <row r="159" spans="1:4">
      <c r="A159" s="8">
        <v>-19.121700000000001</v>
      </c>
      <c r="B159" s="8">
        <v>-5.8281899999999998E-2</v>
      </c>
    </row>
    <row r="160" spans="1:4">
      <c r="A160" s="8">
        <v>-19.475999999999999</v>
      </c>
      <c r="B160" s="8">
        <v>-6.7456799999999997E-2</v>
      </c>
    </row>
    <row r="161" spans="1:2">
      <c r="A161" s="8">
        <v>-20.2818</v>
      </c>
      <c r="B161" s="8">
        <v>-8.9086700000000005E-2</v>
      </c>
    </row>
    <row r="162" spans="1:2">
      <c r="A162" s="8">
        <v>-21.083100000000002</v>
      </c>
      <c r="B162" s="8">
        <v>-0.108863</v>
      </c>
    </row>
    <row r="163" spans="1:2">
      <c r="A163" s="8">
        <v>-22.685700000000001</v>
      </c>
      <c r="B163" s="8">
        <v>-0.14575199999999999</v>
      </c>
    </row>
    <row r="164" spans="1:2">
      <c r="A164" s="8">
        <v>-24.313300000000002</v>
      </c>
      <c r="B164" s="8">
        <v>-0.17841099999999999</v>
      </c>
    </row>
    <row r="165" spans="1:2">
      <c r="A165" s="8">
        <v>-28.328900000000001</v>
      </c>
      <c r="B165" s="8">
        <v>-0.24196999999999999</v>
      </c>
    </row>
    <row r="166" spans="1:2">
      <c r="A166" s="8">
        <v>-36.336300000000001</v>
      </c>
      <c r="B166" s="8">
        <v>-0.33153199999999999</v>
      </c>
    </row>
    <row r="167" spans="1:2">
      <c r="A167" s="8">
        <v>-44.301299999999998</v>
      </c>
      <c r="B167" s="8">
        <v>-0.39489999999999997</v>
      </c>
    </row>
    <row r="168" spans="1:2">
      <c r="A168" s="8">
        <v>-60.336100000000002</v>
      </c>
      <c r="B168" s="8">
        <v>-0.487315</v>
      </c>
    </row>
    <row r="169" spans="1:2">
      <c r="A169" s="8">
        <v>-76.328400000000002</v>
      </c>
      <c r="B169" s="8">
        <v>-0.55386800000000003</v>
      </c>
    </row>
    <row r="170" spans="1:2">
      <c r="A170" s="8">
        <v>-92.281000000000006</v>
      </c>
      <c r="B170" s="8">
        <v>-0.60658800000000002</v>
      </c>
    </row>
    <row r="171" spans="1:2">
      <c r="A171" s="8">
        <v>-108.30200000000001</v>
      </c>
      <c r="B171" s="8">
        <v>-0.65098900000000004</v>
      </c>
    </row>
    <row r="172" spans="1:2">
      <c r="A172" s="8">
        <v>-148.578</v>
      </c>
      <c r="B172" s="8">
        <v>-0.740456</v>
      </c>
    </row>
    <row r="173" spans="1:2">
      <c r="A173" s="8">
        <v>-188.51499999999999</v>
      </c>
      <c r="B173" s="8">
        <v>-0.80986199999999997</v>
      </c>
    </row>
    <row r="174" spans="1:2">
      <c r="A174" s="8">
        <v>-227.77099999999999</v>
      </c>
      <c r="B174" s="8">
        <v>-0.86671699999999996</v>
      </c>
    </row>
    <row r="175" spans="1:2">
      <c r="A175" s="8">
        <v>-307.77999999999997</v>
      </c>
      <c r="B175" s="8">
        <v>-0.96284000000000003</v>
      </c>
    </row>
    <row r="176" spans="1:2">
      <c r="A176" s="8">
        <v>-388.06299999999999</v>
      </c>
      <c r="B176" s="8">
        <v>-1.04071</v>
      </c>
    </row>
    <row r="177" spans="1:2">
      <c r="A177" s="8">
        <v>-468.10300000000001</v>
      </c>
      <c r="B177" s="8">
        <v>-1.10232</v>
      </c>
    </row>
    <row r="178" spans="1:2">
      <c r="A178" s="8">
        <v>-548.14400000000001</v>
      </c>
      <c r="B178" s="8">
        <v>-1.1628799999999999</v>
      </c>
    </row>
    <row r="179" spans="1:2">
      <c r="A179" s="8">
        <v>-707.87400000000002</v>
      </c>
      <c r="B179" s="8">
        <v>-1.2577700000000001</v>
      </c>
    </row>
    <row r="180" spans="1:2">
      <c r="A180" s="8">
        <v>-867.90099999999995</v>
      </c>
      <c r="B180" s="8">
        <v>-1.3335399999999999</v>
      </c>
    </row>
    <row r="181" spans="1:2">
      <c r="A181" s="8">
        <v>-1027.17</v>
      </c>
      <c r="B181" s="8">
        <v>-1.39496</v>
      </c>
    </row>
    <row r="182" spans="1:2">
      <c r="A182" s="8">
        <v>-1187.2</v>
      </c>
      <c r="B182" s="8">
        <v>-1.44659</v>
      </c>
    </row>
    <row r="183" spans="1:2">
      <c r="A183" s="8">
        <v>-1587.21</v>
      </c>
      <c r="B183" s="8">
        <v>-1.5428999999999999</v>
      </c>
    </row>
    <row r="184" spans="1:2">
      <c r="A184" s="8">
        <v>-1652.01</v>
      </c>
      <c r="B184" s="8">
        <v>-1.55545</v>
      </c>
    </row>
  </sheetData>
  <mergeCells count="2">
    <mergeCell ref="A5:B5"/>
    <mergeCell ref="C5:D5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"/>
  <sheetViews>
    <sheetView workbookViewId="0">
      <selection activeCell="O31" sqref="O31"/>
    </sheetView>
  </sheetViews>
  <sheetFormatPr baseColWidth="10" defaultColWidth="9" defaultRowHeight="15"/>
  <cols>
    <col min="1" max="16384" width="9" style="2"/>
  </cols>
  <sheetData/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546B-EB5F-4EF0-A782-0817B10C1839}">
  <sheetPr codeName="Hoja10"/>
  <dimension ref="A1:Z10"/>
  <sheetViews>
    <sheetView workbookViewId="0"/>
  </sheetViews>
  <sheetFormatPr baseColWidth="10" defaultRowHeight="15"/>
  <cols>
    <col min="1" max="1" width="14.7109375" customWidth="1"/>
    <col min="2" max="2" width="15.5703125" customWidth="1"/>
  </cols>
  <sheetData>
    <row r="1" spans="1:26">
      <c r="A1" t="s">
        <v>61</v>
      </c>
      <c r="B1" t="s">
        <v>62</v>
      </c>
      <c r="D1" t="s">
        <v>63</v>
      </c>
      <c r="E1" t="s">
        <v>64</v>
      </c>
      <c r="G1" t="s">
        <v>65</v>
      </c>
      <c r="H1" t="s">
        <v>66</v>
      </c>
      <c r="J1" t="s">
        <v>67</v>
      </c>
      <c r="K1" t="s">
        <v>68</v>
      </c>
      <c r="M1" t="s">
        <v>69</v>
      </c>
      <c r="N1" t="s">
        <v>70</v>
      </c>
      <c r="P1" t="s">
        <v>71</v>
      </c>
      <c r="Q1" t="s">
        <v>72</v>
      </c>
      <c r="S1" t="s">
        <v>73</v>
      </c>
      <c r="T1" t="s">
        <v>74</v>
      </c>
      <c r="V1" t="s">
        <v>75</v>
      </c>
      <c r="W1" t="s">
        <v>76</v>
      </c>
      <c r="Y1" t="s">
        <v>77</v>
      </c>
      <c r="Z1" t="s">
        <v>78</v>
      </c>
    </row>
    <row r="2" spans="1:26">
      <c r="A2">
        <v>0.49909999999999999</v>
      </c>
      <c r="B2">
        <v>735.6</v>
      </c>
      <c r="D2">
        <v>0.49940000000000001</v>
      </c>
      <c r="E2">
        <v>513.9</v>
      </c>
      <c r="G2">
        <v>0.5988</v>
      </c>
      <c r="H2">
        <v>384.7</v>
      </c>
      <c r="J2">
        <v>0.70050000000000001</v>
      </c>
      <c r="K2">
        <v>390.6</v>
      </c>
      <c r="M2">
        <v>0.6996</v>
      </c>
      <c r="N2">
        <v>304.39999999999998</v>
      </c>
      <c r="P2">
        <v>0.69930000000000003</v>
      </c>
      <c r="Q2">
        <v>215</v>
      </c>
      <c r="S2">
        <v>0.7984</v>
      </c>
      <c r="T2">
        <v>142</v>
      </c>
      <c r="V2">
        <v>0.79790000000000005</v>
      </c>
      <c r="W2">
        <v>107.6</v>
      </c>
      <c r="Y2">
        <v>0.89780000000000004</v>
      </c>
      <c r="Z2">
        <v>73.63</v>
      </c>
    </row>
    <row r="3" spans="1:26">
      <c r="A3">
        <v>0.39989999999999998</v>
      </c>
      <c r="B3">
        <v>411.8</v>
      </c>
      <c r="D3">
        <v>0.39900000000000002</v>
      </c>
      <c r="E3">
        <v>306.5</v>
      </c>
      <c r="G3">
        <v>0.49990000000000001</v>
      </c>
      <c r="H3">
        <v>280.10000000000002</v>
      </c>
      <c r="J3">
        <v>0.60040000000000004</v>
      </c>
      <c r="K3">
        <v>302.7</v>
      </c>
      <c r="M3">
        <v>0.59850000000000003</v>
      </c>
      <c r="N3">
        <v>234.8</v>
      </c>
      <c r="P3">
        <v>0.5988</v>
      </c>
      <c r="Q3">
        <v>166</v>
      </c>
      <c r="S3">
        <v>0.69830000000000003</v>
      </c>
      <c r="T3">
        <v>113.9</v>
      </c>
      <c r="V3">
        <v>0.69869999999999999</v>
      </c>
      <c r="W3">
        <v>86.38</v>
      </c>
      <c r="Y3">
        <v>0.79930000000000001</v>
      </c>
      <c r="Z3">
        <v>60.91</v>
      </c>
    </row>
    <row r="4" spans="1:26">
      <c r="A4">
        <v>0.30009999999999998</v>
      </c>
      <c r="B4">
        <v>236.5</v>
      </c>
      <c r="D4">
        <v>0.29949999999999999</v>
      </c>
      <c r="E4">
        <v>171.6</v>
      </c>
      <c r="G4">
        <v>0.39979999999999999</v>
      </c>
      <c r="H4">
        <v>189.2</v>
      </c>
      <c r="J4">
        <v>0.49980000000000002</v>
      </c>
      <c r="K4">
        <v>220.2</v>
      </c>
      <c r="M4">
        <v>0.49940000000000001</v>
      </c>
      <c r="N4">
        <v>168.8</v>
      </c>
      <c r="P4">
        <v>0.50049999999999994</v>
      </c>
      <c r="Q4">
        <v>122</v>
      </c>
      <c r="S4">
        <v>0.59860000000000002</v>
      </c>
      <c r="T4">
        <v>88.61</v>
      </c>
      <c r="V4">
        <v>0.59870000000000001</v>
      </c>
      <c r="W4">
        <v>66.489999999999995</v>
      </c>
      <c r="Y4">
        <v>0.69820000000000004</v>
      </c>
      <c r="Z4">
        <v>49.21</v>
      </c>
    </row>
    <row r="5" spans="1:26">
      <c r="A5">
        <v>0.20030000000000001</v>
      </c>
      <c r="B5">
        <v>104.4</v>
      </c>
      <c r="D5">
        <v>0.19969999999999999</v>
      </c>
      <c r="E5">
        <v>74.989999999999995</v>
      </c>
      <c r="G5">
        <v>0.29959999999999998</v>
      </c>
      <c r="H5">
        <v>110.6</v>
      </c>
      <c r="J5">
        <v>0.4</v>
      </c>
      <c r="K5">
        <v>148.5</v>
      </c>
      <c r="M5">
        <v>0.3997</v>
      </c>
      <c r="N5">
        <v>112.6</v>
      </c>
      <c r="P5">
        <v>0.3997</v>
      </c>
      <c r="Q5">
        <v>82.28</v>
      </c>
      <c r="S5">
        <v>0.49859999999999999</v>
      </c>
      <c r="T5">
        <v>64.88</v>
      </c>
      <c r="V5">
        <v>0.49930000000000002</v>
      </c>
      <c r="W5">
        <v>52.09</v>
      </c>
      <c r="Y5">
        <v>0.59940000000000004</v>
      </c>
      <c r="Z5">
        <v>38.42</v>
      </c>
    </row>
    <row r="6" spans="1:26">
      <c r="A6">
        <v>0.1002</v>
      </c>
      <c r="B6">
        <v>23.91</v>
      </c>
      <c r="D6">
        <v>0.10009999999999999</v>
      </c>
      <c r="E6">
        <v>18.809999999999999</v>
      </c>
      <c r="G6">
        <v>0.19950000000000001</v>
      </c>
      <c r="H6">
        <v>49.77</v>
      </c>
      <c r="J6">
        <v>0.3</v>
      </c>
      <c r="K6">
        <v>87.25</v>
      </c>
      <c r="M6">
        <v>0.3004</v>
      </c>
      <c r="N6">
        <v>66.08</v>
      </c>
      <c r="P6">
        <v>0.29909999999999998</v>
      </c>
      <c r="Q6">
        <v>48.49</v>
      </c>
      <c r="S6">
        <v>0.39960000000000001</v>
      </c>
      <c r="T6">
        <v>47.6</v>
      </c>
      <c r="V6">
        <v>0.3997</v>
      </c>
      <c r="W6">
        <v>35.729999999999997</v>
      </c>
      <c r="Y6">
        <v>0.49909999999999999</v>
      </c>
      <c r="Z6">
        <v>28.63</v>
      </c>
    </row>
    <row r="7" spans="1:26">
      <c r="G7">
        <v>9.9839999999999998E-2</v>
      </c>
      <c r="H7">
        <v>12.64</v>
      </c>
      <c r="J7">
        <v>0.19969999999999999</v>
      </c>
      <c r="K7">
        <v>39.119999999999997</v>
      </c>
      <c r="M7">
        <v>0.19989999999999999</v>
      </c>
      <c r="N7">
        <v>32.43</v>
      </c>
      <c r="P7">
        <v>0.19989999999999999</v>
      </c>
      <c r="Q7">
        <v>24.08</v>
      </c>
      <c r="S7">
        <v>0.29980000000000001</v>
      </c>
      <c r="T7">
        <v>28.43</v>
      </c>
      <c r="V7">
        <v>0.3</v>
      </c>
      <c r="W7">
        <v>21.46</v>
      </c>
      <c r="Y7">
        <v>0.39939999999999998</v>
      </c>
      <c r="Z7">
        <v>19.75</v>
      </c>
    </row>
    <row r="8" spans="1:26">
      <c r="J8">
        <v>9.9989999999999996E-2</v>
      </c>
      <c r="K8">
        <v>9.9489999999999998</v>
      </c>
      <c r="M8">
        <v>9.9979999999999999E-2</v>
      </c>
      <c r="N8">
        <v>7.5129999999999999</v>
      </c>
      <c r="P8">
        <v>0.1</v>
      </c>
      <c r="Q8">
        <v>5.609</v>
      </c>
      <c r="S8">
        <v>0.19989999999999999</v>
      </c>
      <c r="T8">
        <v>13.1</v>
      </c>
      <c r="V8">
        <v>0.20019999999999999</v>
      </c>
      <c r="W8">
        <v>9.9809999999999999</v>
      </c>
      <c r="Y8">
        <v>0.30009999999999998</v>
      </c>
      <c r="Z8">
        <v>12.09</v>
      </c>
    </row>
    <row r="9" spans="1:26">
      <c r="S9">
        <v>0.1</v>
      </c>
      <c r="T9">
        <v>3.0470000000000002</v>
      </c>
      <c r="V9">
        <v>9.9940000000000001E-2</v>
      </c>
      <c r="W9">
        <v>2.3220000000000001</v>
      </c>
      <c r="Y9">
        <v>0.2</v>
      </c>
      <c r="Z9">
        <v>5.77</v>
      </c>
    </row>
    <row r="10" spans="1:26">
      <c r="Y10">
        <v>9.9860000000000004E-2</v>
      </c>
      <c r="Z10">
        <v>1.387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8336-EB3F-4B77-A753-BDF7174B0451}">
  <sheetPr codeName="Hoja11"/>
  <dimension ref="A1:Z72"/>
  <sheetViews>
    <sheetView tabSelected="1" zoomScale="85" zoomScaleNormal="85" workbookViewId="0">
      <selection activeCell="D10" sqref="D10"/>
    </sheetView>
  </sheetViews>
  <sheetFormatPr baseColWidth="10" defaultRowHeight="15"/>
  <cols>
    <col min="1" max="1" width="14.28515625" customWidth="1"/>
  </cols>
  <sheetData>
    <row r="1" spans="1:26">
      <c r="A1" t="s">
        <v>79</v>
      </c>
      <c r="B1" t="s">
        <v>80</v>
      </c>
      <c r="D1" t="s">
        <v>81</v>
      </c>
      <c r="E1" t="s">
        <v>82</v>
      </c>
      <c r="G1" t="s">
        <v>83</v>
      </c>
      <c r="H1" t="s">
        <v>84</v>
      </c>
      <c r="J1" t="s">
        <v>85</v>
      </c>
      <c r="K1" t="s">
        <v>86</v>
      </c>
      <c r="M1" t="s">
        <v>87</v>
      </c>
      <c r="N1" t="s">
        <v>88</v>
      </c>
      <c r="P1" t="s">
        <v>89</v>
      </c>
      <c r="Q1" t="s">
        <v>90</v>
      </c>
      <c r="S1" t="s">
        <v>91</v>
      </c>
      <c r="T1" t="s">
        <v>92</v>
      </c>
      <c r="V1" t="s">
        <v>93</v>
      </c>
      <c r="W1" t="s">
        <v>94</v>
      </c>
      <c r="Y1" t="s">
        <v>95</v>
      </c>
      <c r="Z1" t="s">
        <v>96</v>
      </c>
    </row>
    <row r="2" spans="1:26">
      <c r="A2">
        <v>0.49909999999999999</v>
      </c>
      <c r="B2">
        <v>735.6</v>
      </c>
      <c r="D2">
        <v>0.49940000000000001</v>
      </c>
      <c r="E2">
        <v>513.9</v>
      </c>
      <c r="G2">
        <v>0.5988</v>
      </c>
      <c r="H2">
        <v>384.7</v>
      </c>
      <c r="J2">
        <v>0.70050000000000001</v>
      </c>
      <c r="K2">
        <v>390.6</v>
      </c>
      <c r="M2">
        <v>0.6996</v>
      </c>
      <c r="N2">
        <v>304.39999999999998</v>
      </c>
      <c r="P2">
        <v>0.69930000000000003</v>
      </c>
      <c r="Q2">
        <v>215</v>
      </c>
      <c r="S2">
        <v>0.7984</v>
      </c>
      <c r="T2">
        <v>142</v>
      </c>
      <c r="V2">
        <v>0.79790000000000005</v>
      </c>
      <c r="W2">
        <v>107.6</v>
      </c>
      <c r="Y2">
        <v>0.89780000000000004</v>
      </c>
      <c r="Z2">
        <v>73.63</v>
      </c>
    </row>
    <row r="3" spans="1:26">
      <c r="A3">
        <v>0.39989999999999998</v>
      </c>
      <c r="B3">
        <v>411.8</v>
      </c>
      <c r="D3">
        <v>0.39900000000000002</v>
      </c>
      <c r="E3">
        <v>306.5</v>
      </c>
      <c r="G3">
        <v>0.49990000000000001</v>
      </c>
      <c r="H3">
        <v>280.10000000000002</v>
      </c>
      <c r="J3">
        <v>0.60040000000000004</v>
      </c>
      <c r="K3">
        <v>302.7</v>
      </c>
      <c r="M3">
        <v>0.59850000000000003</v>
      </c>
      <c r="N3">
        <v>234.8</v>
      </c>
      <c r="P3">
        <v>0.5988</v>
      </c>
      <c r="Q3">
        <v>166</v>
      </c>
      <c r="S3">
        <v>0.69830000000000003</v>
      </c>
      <c r="T3">
        <v>113.9</v>
      </c>
      <c r="V3">
        <v>0.69869999999999999</v>
      </c>
      <c r="W3">
        <v>86.38</v>
      </c>
      <c r="Y3">
        <v>0.79930000000000001</v>
      </c>
      <c r="Z3">
        <v>60.91</v>
      </c>
    </row>
    <row r="4" spans="1:26">
      <c r="A4">
        <v>0.30009999999999998</v>
      </c>
      <c r="B4">
        <v>236.5</v>
      </c>
      <c r="D4">
        <v>0.29949999999999999</v>
      </c>
      <c r="E4">
        <v>171.6</v>
      </c>
      <c r="G4">
        <v>0.39979999999999999</v>
      </c>
      <c r="H4">
        <v>189.2</v>
      </c>
      <c r="J4">
        <v>0.49980000000000002</v>
      </c>
      <c r="K4">
        <v>220.2</v>
      </c>
      <c r="M4">
        <v>0.49940000000000001</v>
      </c>
      <c r="N4">
        <v>168.8</v>
      </c>
      <c r="P4">
        <v>0.50049999999999994</v>
      </c>
      <c r="Q4">
        <v>122</v>
      </c>
      <c r="S4">
        <v>0.59860000000000002</v>
      </c>
      <c r="T4">
        <v>88.61</v>
      </c>
      <c r="V4">
        <v>0.59870000000000001</v>
      </c>
      <c r="W4">
        <v>66.489999999999995</v>
      </c>
      <c r="Y4">
        <v>0.69820000000000004</v>
      </c>
      <c r="Z4">
        <v>49.21</v>
      </c>
    </row>
    <row r="5" spans="1:26">
      <c r="A5">
        <v>0.20030000000000001</v>
      </c>
      <c r="B5">
        <v>104.4</v>
      </c>
      <c r="D5">
        <v>0.19969999999999999</v>
      </c>
      <c r="E5">
        <v>74.989999999999995</v>
      </c>
      <c r="G5">
        <v>0.29959999999999998</v>
      </c>
      <c r="H5">
        <v>110.6</v>
      </c>
      <c r="J5">
        <v>0.4</v>
      </c>
      <c r="K5">
        <v>148.5</v>
      </c>
      <c r="M5">
        <v>0.3997</v>
      </c>
      <c r="N5">
        <v>112.6</v>
      </c>
      <c r="P5">
        <v>0.3997</v>
      </c>
      <c r="Q5">
        <v>82.28</v>
      </c>
      <c r="S5">
        <v>0.49859999999999999</v>
      </c>
      <c r="T5">
        <v>64.88</v>
      </c>
      <c r="V5">
        <v>0.49930000000000002</v>
      </c>
      <c r="W5">
        <v>52.09</v>
      </c>
      <c r="Y5">
        <v>0.59940000000000004</v>
      </c>
      <c r="Z5">
        <v>38.42</v>
      </c>
    </row>
    <row r="6" spans="1:26">
      <c r="A6">
        <v>0.1002</v>
      </c>
      <c r="B6">
        <v>23.91</v>
      </c>
      <c r="D6">
        <v>0.10009999999999999</v>
      </c>
      <c r="E6">
        <v>18.809999999999999</v>
      </c>
      <c r="G6">
        <v>0.19950000000000001</v>
      </c>
      <c r="H6">
        <v>49.77</v>
      </c>
      <c r="J6">
        <v>0.3</v>
      </c>
      <c r="K6">
        <v>87.25</v>
      </c>
      <c r="M6">
        <v>0.3004</v>
      </c>
      <c r="N6">
        <v>66.08</v>
      </c>
      <c r="P6">
        <v>0.29909999999999998</v>
      </c>
      <c r="Q6">
        <v>48.49</v>
      </c>
      <c r="S6">
        <v>0.39960000000000001</v>
      </c>
      <c r="T6">
        <v>47.6</v>
      </c>
      <c r="V6">
        <v>0.3997</v>
      </c>
      <c r="W6">
        <v>35.729999999999997</v>
      </c>
      <c r="Y6">
        <v>0.49909999999999999</v>
      </c>
      <c r="Z6">
        <v>28.63</v>
      </c>
    </row>
    <row r="7" spans="1:26">
      <c r="G7">
        <v>9.9839999999999998E-2</v>
      </c>
      <c r="H7">
        <v>12.64</v>
      </c>
      <c r="J7">
        <v>0.19969999999999999</v>
      </c>
      <c r="K7">
        <v>39.119999999999997</v>
      </c>
      <c r="M7">
        <v>0.19989999999999999</v>
      </c>
      <c r="N7">
        <v>32.43</v>
      </c>
      <c r="P7">
        <v>0.19989999999999999</v>
      </c>
      <c r="Q7">
        <v>24.08</v>
      </c>
      <c r="S7">
        <v>0.29980000000000001</v>
      </c>
      <c r="T7">
        <v>28.43</v>
      </c>
      <c r="V7">
        <v>0.3</v>
      </c>
      <c r="W7">
        <v>21.46</v>
      </c>
      <c r="Y7">
        <v>0.39939999999999998</v>
      </c>
      <c r="Z7">
        <v>19.75</v>
      </c>
    </row>
    <row r="8" spans="1:26">
      <c r="J8">
        <v>9.9989999999999996E-2</v>
      </c>
      <c r="K8">
        <v>9.9489999999999998</v>
      </c>
      <c r="M8">
        <v>9.9979999999999999E-2</v>
      </c>
      <c r="N8">
        <v>7.5129999999999999</v>
      </c>
      <c r="P8">
        <v>0.1</v>
      </c>
      <c r="Q8">
        <v>5.609</v>
      </c>
      <c r="S8">
        <v>0.19989999999999999</v>
      </c>
      <c r="T8">
        <v>13.1</v>
      </c>
      <c r="V8">
        <v>0.20019999999999999</v>
      </c>
      <c r="W8">
        <v>9.9809999999999999</v>
      </c>
      <c r="Y8">
        <v>0.30009999999999998</v>
      </c>
      <c r="Z8">
        <v>12.09</v>
      </c>
    </row>
    <row r="9" spans="1:26">
      <c r="S9">
        <v>0.1</v>
      </c>
      <c r="T9">
        <v>3.0470000000000002</v>
      </c>
      <c r="V9">
        <v>9.9940000000000001E-2</v>
      </c>
      <c r="W9">
        <v>2.3220000000000001</v>
      </c>
      <c r="Y9">
        <v>0.2</v>
      </c>
      <c r="Z9">
        <v>5.77</v>
      </c>
    </row>
    <row r="10" spans="1:26">
      <c r="D10" t="s">
        <v>97</v>
      </c>
      <c r="E10" t="s">
        <v>99</v>
      </c>
      <c r="F10" t="s">
        <v>98</v>
      </c>
      <c r="Y10">
        <v>9.9860000000000004E-2</v>
      </c>
      <c r="Z10">
        <v>1.387</v>
      </c>
    </row>
    <row r="11" spans="1:26">
      <c r="D11" s="13">
        <v>50000</v>
      </c>
      <c r="E11" s="14">
        <f>A2</f>
        <v>0.49909999999999999</v>
      </c>
      <c r="F11" s="12">
        <f>B2</f>
        <v>735.6</v>
      </c>
    </row>
    <row r="12" spans="1:26">
      <c r="D12" s="13">
        <v>50000</v>
      </c>
      <c r="E12">
        <f t="shared" ref="E12:F12" si="0">A3</f>
        <v>0.39989999999999998</v>
      </c>
      <c r="F12">
        <f t="shared" si="0"/>
        <v>411.8</v>
      </c>
    </row>
    <row r="13" spans="1:26">
      <c r="D13" s="13">
        <v>50000</v>
      </c>
      <c r="E13">
        <f t="shared" ref="E13:F13" si="1">A4</f>
        <v>0.30009999999999998</v>
      </c>
      <c r="F13">
        <f t="shared" si="1"/>
        <v>236.5</v>
      </c>
    </row>
    <row r="14" spans="1:26">
      <c r="D14" s="13">
        <v>50000</v>
      </c>
      <c r="E14">
        <f t="shared" ref="E14:F14" si="2">A5</f>
        <v>0.20030000000000001</v>
      </c>
      <c r="F14">
        <f t="shared" si="2"/>
        <v>104.4</v>
      </c>
    </row>
    <row r="15" spans="1:26">
      <c r="D15" s="13">
        <v>50000</v>
      </c>
      <c r="E15">
        <f t="shared" ref="E15:F15" si="3">A6</f>
        <v>0.1002</v>
      </c>
      <c r="F15">
        <f t="shared" si="3"/>
        <v>23.91</v>
      </c>
    </row>
    <row r="16" spans="1:26">
      <c r="D16" s="13">
        <v>40000</v>
      </c>
      <c r="E16">
        <f>D2</f>
        <v>0.49940000000000001</v>
      </c>
      <c r="F16">
        <f>E2</f>
        <v>513.9</v>
      </c>
    </row>
    <row r="17" spans="4:12">
      <c r="D17" s="13">
        <v>40000</v>
      </c>
      <c r="E17">
        <f t="shared" ref="E17:F17" si="4">D3</f>
        <v>0.39900000000000002</v>
      </c>
      <c r="F17">
        <f t="shared" si="4"/>
        <v>306.5</v>
      </c>
    </row>
    <row r="18" spans="4:12">
      <c r="D18" s="13">
        <v>40000</v>
      </c>
      <c r="E18">
        <f t="shared" ref="E18:F18" si="5">D4</f>
        <v>0.29949999999999999</v>
      </c>
      <c r="F18">
        <f t="shared" si="5"/>
        <v>171.6</v>
      </c>
    </row>
    <row r="19" spans="4:12">
      <c r="D19" s="13">
        <v>40000</v>
      </c>
      <c r="E19">
        <f t="shared" ref="E19:F19" si="6">D5</f>
        <v>0.19969999999999999</v>
      </c>
      <c r="F19">
        <f t="shared" si="6"/>
        <v>74.989999999999995</v>
      </c>
    </row>
    <row r="20" spans="4:12">
      <c r="D20" s="13">
        <v>40000</v>
      </c>
      <c r="E20">
        <f t="shared" ref="E20:F20" si="7">D6</f>
        <v>0.10009999999999999</v>
      </c>
      <c r="F20">
        <f t="shared" si="7"/>
        <v>18.809999999999999</v>
      </c>
      <c r="L20" t="s">
        <v>100</v>
      </c>
    </row>
    <row r="21" spans="4:12">
      <c r="D21" s="13">
        <v>30000</v>
      </c>
      <c r="E21">
        <f>G2</f>
        <v>0.5988</v>
      </c>
      <c r="F21">
        <f>H2</f>
        <v>384.7</v>
      </c>
      <c r="L21" t="s">
        <v>101</v>
      </c>
    </row>
    <row r="22" spans="4:12">
      <c r="D22" s="13">
        <v>30000</v>
      </c>
      <c r="E22">
        <f t="shared" ref="E22:F22" si="8">G3</f>
        <v>0.49990000000000001</v>
      </c>
      <c r="F22">
        <f t="shared" si="8"/>
        <v>280.10000000000002</v>
      </c>
      <c r="L22" t="s">
        <v>102</v>
      </c>
    </row>
    <row r="23" spans="4:12">
      <c r="D23" s="13">
        <v>30000</v>
      </c>
      <c r="E23">
        <f t="shared" ref="E23:F23" si="9">G4</f>
        <v>0.39979999999999999</v>
      </c>
      <c r="F23">
        <f t="shared" si="9"/>
        <v>189.2</v>
      </c>
      <c r="L23" t="s">
        <v>103</v>
      </c>
    </row>
    <row r="24" spans="4:12">
      <c r="D24" s="13">
        <v>30000</v>
      </c>
      <c r="E24">
        <f t="shared" ref="E24:F24" si="10">G5</f>
        <v>0.29959999999999998</v>
      </c>
      <c r="F24">
        <f t="shared" si="10"/>
        <v>110.6</v>
      </c>
    </row>
    <row r="25" spans="4:12">
      <c r="D25" s="13">
        <v>30000</v>
      </c>
      <c r="E25">
        <f t="shared" ref="E25:F25" si="11">G6</f>
        <v>0.19950000000000001</v>
      </c>
      <c r="F25">
        <f t="shared" si="11"/>
        <v>49.77</v>
      </c>
    </row>
    <row r="26" spans="4:12">
      <c r="D26" s="13">
        <v>30000</v>
      </c>
      <c r="E26">
        <f t="shared" ref="E26:F26" si="12">G7</f>
        <v>9.9839999999999998E-2</v>
      </c>
      <c r="F26">
        <f t="shared" si="12"/>
        <v>12.64</v>
      </c>
    </row>
    <row r="27" spans="4:12">
      <c r="D27" s="13">
        <v>25000</v>
      </c>
      <c r="E27">
        <f>J2</f>
        <v>0.70050000000000001</v>
      </c>
      <c r="F27">
        <f>K2</f>
        <v>390.6</v>
      </c>
    </row>
    <row r="28" spans="4:12">
      <c r="D28" s="13">
        <v>25000</v>
      </c>
      <c r="E28">
        <f t="shared" ref="E28:F28" si="13">J3</f>
        <v>0.60040000000000004</v>
      </c>
      <c r="F28">
        <f t="shared" si="13"/>
        <v>302.7</v>
      </c>
    </row>
    <row r="29" spans="4:12">
      <c r="D29" s="13">
        <v>25000</v>
      </c>
      <c r="E29">
        <f t="shared" ref="E29:F29" si="14">J4</f>
        <v>0.49980000000000002</v>
      </c>
      <c r="F29">
        <f t="shared" si="14"/>
        <v>220.2</v>
      </c>
    </row>
    <row r="30" spans="4:12">
      <c r="D30" s="13">
        <v>25000</v>
      </c>
      <c r="E30">
        <f t="shared" ref="E30:F30" si="15">J5</f>
        <v>0.4</v>
      </c>
      <c r="F30">
        <f t="shared" si="15"/>
        <v>148.5</v>
      </c>
    </row>
    <row r="31" spans="4:12">
      <c r="D31" s="13">
        <v>25000</v>
      </c>
      <c r="E31">
        <f t="shared" ref="E31:F31" si="16">J6</f>
        <v>0.3</v>
      </c>
      <c r="F31">
        <f t="shared" si="16"/>
        <v>87.25</v>
      </c>
    </row>
    <row r="32" spans="4:12">
      <c r="D32" s="13">
        <v>25000</v>
      </c>
      <c r="E32">
        <f t="shared" ref="E32:F32" si="17">J7</f>
        <v>0.19969999999999999</v>
      </c>
      <c r="F32">
        <f t="shared" si="17"/>
        <v>39.119999999999997</v>
      </c>
    </row>
    <row r="33" spans="4:6">
      <c r="D33" s="13">
        <v>25000</v>
      </c>
      <c r="E33">
        <f t="shared" ref="E33:F33" si="18">J8</f>
        <v>9.9989999999999996E-2</v>
      </c>
      <c r="F33">
        <f t="shared" si="18"/>
        <v>9.9489999999999998</v>
      </c>
    </row>
    <row r="34" spans="4:6">
      <c r="D34" s="13">
        <v>20000</v>
      </c>
      <c r="E34">
        <f>M2</f>
        <v>0.6996</v>
      </c>
      <c r="F34">
        <f>N2</f>
        <v>304.39999999999998</v>
      </c>
    </row>
    <row r="35" spans="4:6">
      <c r="D35" s="13">
        <v>20000</v>
      </c>
      <c r="E35">
        <f t="shared" ref="E35:F35" si="19">M3</f>
        <v>0.59850000000000003</v>
      </c>
      <c r="F35">
        <f t="shared" si="19"/>
        <v>234.8</v>
      </c>
    </row>
    <row r="36" spans="4:6">
      <c r="D36" s="13">
        <v>20000</v>
      </c>
      <c r="E36">
        <f t="shared" ref="E36:F36" si="20">M4</f>
        <v>0.49940000000000001</v>
      </c>
      <c r="F36">
        <f t="shared" si="20"/>
        <v>168.8</v>
      </c>
    </row>
    <row r="37" spans="4:6">
      <c r="D37" s="13">
        <v>20000</v>
      </c>
      <c r="E37">
        <f t="shared" ref="E37:F37" si="21">M5</f>
        <v>0.3997</v>
      </c>
      <c r="F37">
        <f t="shared" si="21"/>
        <v>112.6</v>
      </c>
    </row>
    <row r="38" spans="4:6">
      <c r="D38" s="13">
        <v>20000</v>
      </c>
      <c r="E38">
        <f t="shared" ref="E38:F38" si="22">M6</f>
        <v>0.3004</v>
      </c>
      <c r="F38">
        <f t="shared" si="22"/>
        <v>66.08</v>
      </c>
    </row>
    <row r="39" spans="4:6">
      <c r="D39" s="13">
        <v>20000</v>
      </c>
      <c r="E39">
        <f t="shared" ref="E39:F39" si="23">M7</f>
        <v>0.19989999999999999</v>
      </c>
      <c r="F39">
        <f t="shared" si="23"/>
        <v>32.43</v>
      </c>
    </row>
    <row r="40" spans="4:6">
      <c r="D40" s="13">
        <v>20000</v>
      </c>
      <c r="E40">
        <f t="shared" ref="E40:F40" si="24">M8</f>
        <v>9.9979999999999999E-2</v>
      </c>
      <c r="F40">
        <f t="shared" si="24"/>
        <v>7.5129999999999999</v>
      </c>
    </row>
    <row r="41" spans="4:6">
      <c r="D41" s="13">
        <v>16000</v>
      </c>
      <c r="E41">
        <f>P2</f>
        <v>0.69930000000000003</v>
      </c>
      <c r="F41">
        <f>Q2</f>
        <v>215</v>
      </c>
    </row>
    <row r="42" spans="4:6">
      <c r="D42" s="13">
        <v>16000</v>
      </c>
      <c r="E42">
        <f t="shared" ref="E42:F42" si="25">P3</f>
        <v>0.5988</v>
      </c>
      <c r="F42">
        <f t="shared" si="25"/>
        <v>166</v>
      </c>
    </row>
    <row r="43" spans="4:6">
      <c r="D43" s="13">
        <v>16000</v>
      </c>
      <c r="E43">
        <f t="shared" ref="E43:F43" si="26">P4</f>
        <v>0.50049999999999994</v>
      </c>
      <c r="F43">
        <f t="shared" si="26"/>
        <v>122</v>
      </c>
    </row>
    <row r="44" spans="4:6">
      <c r="D44" s="13">
        <v>16000</v>
      </c>
      <c r="E44">
        <f t="shared" ref="E44:F44" si="27">P5</f>
        <v>0.3997</v>
      </c>
      <c r="F44">
        <f t="shared" si="27"/>
        <v>82.28</v>
      </c>
    </row>
    <row r="45" spans="4:6">
      <c r="D45" s="13">
        <v>16000</v>
      </c>
      <c r="E45">
        <f t="shared" ref="E45:F45" si="28">P6</f>
        <v>0.29909999999999998</v>
      </c>
      <c r="F45">
        <f t="shared" si="28"/>
        <v>48.49</v>
      </c>
    </row>
    <row r="46" spans="4:6">
      <c r="D46" s="13">
        <v>16000</v>
      </c>
      <c r="E46">
        <f t="shared" ref="E46:F46" si="29">P7</f>
        <v>0.19989999999999999</v>
      </c>
      <c r="F46">
        <f t="shared" si="29"/>
        <v>24.08</v>
      </c>
    </row>
    <row r="47" spans="4:6">
      <c r="D47" s="13">
        <v>16000</v>
      </c>
      <c r="E47">
        <f t="shared" ref="E47:F47" si="30">P8</f>
        <v>0.1</v>
      </c>
      <c r="F47">
        <f t="shared" si="30"/>
        <v>5.609</v>
      </c>
    </row>
    <row r="48" spans="4:6">
      <c r="D48" s="13">
        <v>10000</v>
      </c>
      <c r="E48">
        <v>0.7984</v>
      </c>
      <c r="F48">
        <v>142</v>
      </c>
    </row>
    <row r="49" spans="4:6">
      <c r="D49" s="13">
        <v>10000</v>
      </c>
      <c r="E49">
        <v>0.69830000000000003</v>
      </c>
      <c r="F49">
        <v>113.9</v>
      </c>
    </row>
    <row r="50" spans="4:6">
      <c r="D50" s="13">
        <v>10000</v>
      </c>
      <c r="E50">
        <v>0.59860000000000002</v>
      </c>
      <c r="F50">
        <v>88.61</v>
      </c>
    </row>
    <row r="51" spans="4:6">
      <c r="D51" s="13">
        <v>10000</v>
      </c>
      <c r="E51">
        <v>0.49859999999999999</v>
      </c>
      <c r="F51">
        <v>64.88</v>
      </c>
    </row>
    <row r="52" spans="4:6">
      <c r="D52" s="13">
        <v>10000</v>
      </c>
      <c r="E52">
        <v>0.39960000000000001</v>
      </c>
      <c r="F52">
        <v>47.6</v>
      </c>
    </row>
    <row r="53" spans="4:6">
      <c r="D53" s="13">
        <v>10000</v>
      </c>
      <c r="E53">
        <v>0.29980000000000001</v>
      </c>
      <c r="F53">
        <v>28.43</v>
      </c>
    </row>
    <row r="54" spans="4:6">
      <c r="D54" s="13">
        <v>10000</v>
      </c>
      <c r="E54">
        <v>0.19989999999999999</v>
      </c>
      <c r="F54">
        <v>13.1</v>
      </c>
    </row>
    <row r="55" spans="4:6">
      <c r="D55" s="13">
        <v>10000</v>
      </c>
      <c r="E55">
        <v>0.1</v>
      </c>
      <c r="F55">
        <v>3.0470000000000002</v>
      </c>
    </row>
    <row r="56" spans="4:6">
      <c r="D56" s="13">
        <v>8000</v>
      </c>
      <c r="E56">
        <v>0.79790000000000005</v>
      </c>
      <c r="F56">
        <v>107.6</v>
      </c>
    </row>
    <row r="57" spans="4:6">
      <c r="D57" s="13">
        <v>8000</v>
      </c>
      <c r="E57">
        <v>0.69869999999999999</v>
      </c>
      <c r="F57">
        <v>86.38</v>
      </c>
    </row>
    <row r="58" spans="4:6">
      <c r="D58" s="13">
        <v>8000</v>
      </c>
      <c r="E58">
        <v>0.59870000000000001</v>
      </c>
      <c r="F58">
        <v>66.489999999999995</v>
      </c>
    </row>
    <row r="59" spans="4:6">
      <c r="D59" s="13">
        <v>8000</v>
      </c>
      <c r="E59">
        <v>0.49930000000000002</v>
      </c>
      <c r="F59">
        <v>52.09</v>
      </c>
    </row>
    <row r="60" spans="4:6">
      <c r="D60" s="13">
        <v>8000</v>
      </c>
      <c r="E60">
        <v>0.3997</v>
      </c>
      <c r="F60">
        <v>35.729999999999997</v>
      </c>
    </row>
    <row r="61" spans="4:6">
      <c r="D61" s="13">
        <v>8000</v>
      </c>
      <c r="E61">
        <v>0.3</v>
      </c>
      <c r="F61">
        <v>21.46</v>
      </c>
    </row>
    <row r="62" spans="4:6">
      <c r="D62" s="13">
        <v>8000</v>
      </c>
      <c r="E62">
        <v>0.20019999999999999</v>
      </c>
      <c r="F62">
        <v>9.9809999999999999</v>
      </c>
    </row>
    <row r="63" spans="4:6">
      <c r="D63" s="13">
        <v>8000</v>
      </c>
      <c r="E63">
        <v>9.9940000000000001E-2</v>
      </c>
      <c r="F63">
        <v>2.3220000000000001</v>
      </c>
    </row>
    <row r="64" spans="4:6">
      <c r="D64" s="13">
        <v>5000</v>
      </c>
      <c r="E64">
        <v>0.89780000000000004</v>
      </c>
      <c r="F64">
        <v>73.63</v>
      </c>
    </row>
    <row r="65" spans="4:6">
      <c r="D65" s="13">
        <v>5000</v>
      </c>
      <c r="E65">
        <v>0.79930000000000001</v>
      </c>
      <c r="F65">
        <v>60.91</v>
      </c>
    </row>
    <row r="66" spans="4:6">
      <c r="D66" s="13">
        <v>5000</v>
      </c>
      <c r="E66">
        <v>0.69820000000000004</v>
      </c>
      <c r="F66">
        <v>49.21</v>
      </c>
    </row>
    <row r="67" spans="4:6">
      <c r="D67" s="13">
        <v>5000</v>
      </c>
      <c r="E67">
        <v>0.59940000000000004</v>
      </c>
      <c r="F67">
        <v>38.42</v>
      </c>
    </row>
    <row r="68" spans="4:6">
      <c r="D68" s="13">
        <v>5000</v>
      </c>
      <c r="E68">
        <v>0.49909999999999999</v>
      </c>
      <c r="F68">
        <v>28.63</v>
      </c>
    </row>
    <row r="69" spans="4:6">
      <c r="D69" s="13">
        <v>5000</v>
      </c>
      <c r="E69">
        <v>0.39939999999999998</v>
      </c>
      <c r="F69">
        <v>19.75</v>
      </c>
    </row>
    <row r="70" spans="4:6">
      <c r="D70" s="13">
        <v>5000</v>
      </c>
      <c r="E70">
        <v>0.30009999999999998</v>
      </c>
      <c r="F70">
        <v>12.09</v>
      </c>
    </row>
    <row r="71" spans="4:6">
      <c r="D71" s="13">
        <v>5000</v>
      </c>
      <c r="E71">
        <v>0.2</v>
      </c>
      <c r="F71">
        <v>5.77</v>
      </c>
    </row>
    <row r="72" spans="4:6">
      <c r="D72" s="13">
        <v>5000</v>
      </c>
      <c r="E72">
        <v>9.9860000000000004E-2</v>
      </c>
      <c r="F72">
        <v>1.387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"/>
  <sheetViews>
    <sheetView zoomScaleNormal="100" workbookViewId="0">
      <selection activeCell="Q8" sqref="Q8"/>
    </sheetView>
  </sheetViews>
  <sheetFormatPr baseColWidth="10" defaultColWidth="9" defaultRowHeight="15"/>
  <cols>
    <col min="1" max="16384" width="9" style="2"/>
  </cols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"/>
  <sheetViews>
    <sheetView workbookViewId="0">
      <selection activeCell="K29" sqref="K29"/>
    </sheetView>
  </sheetViews>
  <sheetFormatPr baseColWidth="10" defaultColWidth="9" defaultRowHeight="15"/>
  <cols>
    <col min="1" max="16384" width="9" style="2"/>
  </cols>
  <sheetData/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"/>
  <sheetViews>
    <sheetView workbookViewId="0">
      <selection activeCell="K29" sqref="K29"/>
    </sheetView>
  </sheetViews>
  <sheetFormatPr baseColWidth="10" defaultColWidth="9" defaultRowHeight="15"/>
  <cols>
    <col min="1" max="16384" width="9" style="2"/>
  </cols>
  <sheetData/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1980dc-c66c-4ce4-8408-aaaf88c6bbe2" xsi:nil="true"/>
    <lcf76f155ced4ddcb4097134ff3c332f xmlns="6fbffdea-986a-4988-b7a0-f1a2e6b81f6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1BB415CC850A418DB67E48E2386FCE" ma:contentTypeVersion="18" ma:contentTypeDescription="Crear nuevo documento." ma:contentTypeScope="" ma:versionID="f750e39fa34790dd0c4a3080aaae83f1">
  <xsd:schema xmlns:xsd="http://www.w3.org/2001/XMLSchema" xmlns:xs="http://www.w3.org/2001/XMLSchema" xmlns:p="http://schemas.microsoft.com/office/2006/metadata/properties" xmlns:ns2="6fbffdea-986a-4988-b7a0-f1a2e6b81f67" xmlns:ns3="f71980dc-c66c-4ce4-8408-aaaf88c6bbe2" targetNamespace="http://schemas.microsoft.com/office/2006/metadata/properties" ma:root="true" ma:fieldsID="0aab7acde64e6ad60b028d4805459925" ns2:_="" ns3:_="">
    <xsd:import namespace="6fbffdea-986a-4988-b7a0-f1a2e6b81f67"/>
    <xsd:import namespace="f71980dc-c66c-4ce4-8408-aaaf88c6bb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ffdea-986a-4988-b7a0-f1a2e6b81f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e3ecf05-052d-483d-bb44-1bee98e453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980dc-c66c-4ce4-8408-aaaf88c6bbe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b278319-3d87-464d-b311-8264dc418d15}" ma:internalName="TaxCatchAll" ma:showField="CatchAllData" ma:web="f71980dc-c66c-4ce4-8408-aaaf88c6bb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CB61C8-BBEF-4446-A12D-70B1586AA454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6fbffdea-986a-4988-b7a0-f1a2e6b81f67"/>
    <ds:schemaRef ds:uri="http://purl.org/dc/dcmitype/"/>
    <ds:schemaRef ds:uri="http://schemas.openxmlformats.org/package/2006/metadata/core-properties"/>
    <ds:schemaRef ds:uri="f71980dc-c66c-4ce4-8408-aaaf88c6bbe2"/>
  </ds:schemaRefs>
</ds:datastoreItem>
</file>

<file path=customXml/itemProps2.xml><?xml version="1.0" encoding="utf-8"?>
<ds:datastoreItem xmlns:ds="http://schemas.openxmlformats.org/officeDocument/2006/customXml" ds:itemID="{B148CFA7-F09A-4115-8F57-3130ADBB29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bffdea-986a-4988-b7a0-f1a2e6b81f67"/>
    <ds:schemaRef ds:uri="f71980dc-c66c-4ce4-8408-aaaf88c6bb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FC9E88-5DB1-441B-918E-A1163136F4F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2934d72-6607-4618-be93-628e204d1dcb}" enabled="1" method="Standard" siteId="{62aa5f2b-2665-4315-a4cd-f17cdc3c805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material data</vt:lpstr>
      <vt:lpstr>B-H curve</vt:lpstr>
      <vt:lpstr>DC-Bias</vt:lpstr>
      <vt:lpstr>DataFromChart1</vt:lpstr>
      <vt:lpstr>DataFromChart</vt:lpstr>
      <vt:lpstr>PS-f curve</vt:lpstr>
      <vt:lpstr>BS-T curve</vt:lpstr>
      <vt:lpstr>μ-T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2026-05-15T10:18:43Z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0x010100511BB415CC850A418DB67E48E2386FCE</vt:lpwstr>
  </property>
  <property fmtid="{D5CDD505-2E9C-101B-9397-08002B2CF9AE}" pid="3" name="MSIP_Label_02934d72-6607-4618-be93-628e204d1dcb_Enabled">
    <vt:lpwstr>true</vt:lpwstr>
  </property>
  <property fmtid="{D5CDD505-2E9C-101B-9397-08002B2CF9AE}" pid="4" name="MSIP_Label_02934d72-6607-4618-be93-628e204d1dcb_SetDate">
    <vt:lpwstr>2024-11-12T15:59:37Z</vt:lpwstr>
  </property>
  <property fmtid="{D5CDD505-2E9C-101B-9397-08002B2CF9AE}" pid="5" name="MSIP_Label_02934d72-6607-4618-be93-628e204d1dcb_Method">
    <vt:lpwstr>Standard</vt:lpwstr>
  </property>
  <property fmtid="{D5CDD505-2E9C-101B-9397-08002B2CF9AE}" pid="6" name="MSIP_Label_02934d72-6607-4618-be93-628e204d1dcb_Name">
    <vt:lpwstr>USO INTERNO</vt:lpwstr>
  </property>
  <property fmtid="{D5CDD505-2E9C-101B-9397-08002B2CF9AE}" pid="7" name="MSIP_Label_02934d72-6607-4618-be93-628e204d1dcb_SiteId">
    <vt:lpwstr>62aa5f2b-2665-4315-a4cd-f17cdc3c8058</vt:lpwstr>
  </property>
  <property fmtid="{D5CDD505-2E9C-101B-9397-08002B2CF9AE}" pid="8" name="MSIP_Label_02934d72-6607-4618-be93-628e204d1dcb_ActionId">
    <vt:lpwstr>f17cbbf4-ea28-4c31-a5ee-c3c4007eef1a</vt:lpwstr>
  </property>
  <property fmtid="{D5CDD505-2E9C-101B-9397-08002B2CF9AE}" pid="9" name="MSIP_Label_02934d72-6607-4618-be93-628e204d1dcb_ContentBits">
    <vt:lpwstr>0</vt:lpwstr>
  </property>
</Properties>
</file>